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校稿總覽與統計" sheetId="1" state="visible" r:id="rId1"/>
    <sheet xmlns:r="http://schemas.openxmlformats.org/officeDocument/2006/relationships" name="實務原則卡牌校對 (458條)" sheetId="2" state="visible" r:id="rId2"/>
    <sheet xmlns:r="http://schemas.openxmlformats.org/officeDocument/2006/relationships" name="20大核心原則校對" sheetId="3" state="visible" r:id="rId3"/>
    <sheet xmlns:r="http://schemas.openxmlformats.org/officeDocument/2006/relationships" name="篇章核心指引金句 (53則)" sheetId="4" state="visible" r:id="rId4"/>
  </sheets>
  <definedNames>
    <definedName name="_xlnm._FilterDatabase" localSheetId="1" hidden="1">'實務原則卡牌校對 (458條)'!$A$1:$K$459</definedName>
    <definedName name="_xlnm._FilterDatabase" localSheetId="2" hidden="1">'20大核心原則校對'!$A$1:$L$21</definedName>
    <definedName name="_xlnm._FilterDatabase" localSheetId="3" hidden="1">'篇章核心指引金句 (53則)'!$A$1:$H$54</definedName>
  </definedNames>
  <calcPr calcId="124519" fullCalcOnLoad="1"/>
</workbook>
</file>

<file path=xl/styles.xml><?xml version="1.0" encoding="utf-8"?>
<styleSheet xmlns="http://schemas.openxmlformats.org/spreadsheetml/2006/main">
  <numFmts count="1">
    <numFmt numFmtId="164" formatCode="0.0%"/>
  </numFmts>
  <fonts count="26">
    <font>
      <name val="Calibri"/>
      <family val="2"/>
      <color theme="1"/>
      <sz val="11"/>
      <scheme val="minor"/>
    </font>
    <font>
      <name val="Microsoft JhengHei"/>
      <b val="1"/>
      <color rgb="00FFFFFF"/>
      <sz val="15"/>
    </font>
    <font>
      <name val="Microsoft JhengHei"/>
      <color rgb="00CBD5E1"/>
      <sz val="10"/>
    </font>
    <font>
      <name val="Microsoft JhengHei"/>
      <b val="1"/>
      <color rgb="000F172A"/>
      <sz val="11"/>
    </font>
    <font>
      <name val="Microsoft JhengHei"/>
      <color rgb="00334155"/>
      <sz val="9.5"/>
    </font>
    <font>
      <name val="Microsoft JhengHei"/>
      <b val="1"/>
      <color rgb="00FFFFFF"/>
      <sz val="11"/>
    </font>
    <font>
      <name val="Microsoft JhengHei"/>
      <b val="1"/>
      <color rgb="00FFFFFF"/>
      <sz val="9.5"/>
    </font>
    <font>
      <name val="Microsoft JhengHei"/>
      <color rgb="000F172A"/>
      <sz val="9.5"/>
    </font>
    <font>
      <name val="Microsoft JhengHei"/>
      <b val="1"/>
      <color rgb="001E293B"/>
      <sz val="9.5"/>
    </font>
    <font>
      <name val="Microsoft JhengHei"/>
      <b val="1"/>
      <color rgb="004338CA"/>
      <sz val="10"/>
    </font>
    <font>
      <name val="Microsoft JhengHei"/>
      <b val="1"/>
      <color rgb="001E293B"/>
      <sz val="10"/>
    </font>
    <font>
      <name val="Microsoft JhengHei"/>
      <color rgb="0064748B"/>
      <sz val="9"/>
    </font>
    <font>
      <name val="Calibri"/>
      <color rgb="0064748B"/>
      <sz val="9.5"/>
    </font>
    <font>
      <name val="Calibri"/>
      <b val="1"/>
      <color rgb="000F172A"/>
      <sz val="9.5"/>
    </font>
    <font>
      <name val="Microsoft JhengHei"/>
      <b val="1"/>
      <color rgb="004338CA"/>
      <sz val="9"/>
    </font>
    <font>
      <name val="Microsoft JhengHei"/>
      <color rgb="00334155"/>
      <sz val="9"/>
    </font>
    <font>
      <name val="Calibri"/>
      <color rgb="001E293B"/>
      <sz val="9.5"/>
    </font>
    <font>
      <name val="Microsoft JhengHei"/>
      <color rgb="000F766E"/>
      <sz val="9.5"/>
    </font>
    <font>
      <name val="Microsoft JhengHei"/>
      <color rgb="0064748B"/>
      <sz val="9.5"/>
    </font>
    <font>
      <name val="Calibri"/>
      <color rgb="00334155"/>
      <sz val="9"/>
    </font>
    <font>
      <name val="Microsoft JhengHei"/>
      <color rgb="00475569"/>
      <sz val="9"/>
    </font>
    <font>
      <name val="Microsoft JhengHei"/>
      <b val="1"/>
      <color rgb="00312E81"/>
      <sz val="9.5"/>
    </font>
    <font>
      <name val="Microsoft JhengHei"/>
      <b val="1"/>
      <color rgb="000F172A"/>
      <sz val="9.5"/>
    </font>
    <font>
      <name val="Calibri"/>
      <color rgb="0064748B"/>
      <sz val="8.5"/>
    </font>
    <font>
      <name val="Microsoft JhengHei"/>
      <b val="1"/>
      <color rgb="0078350F"/>
      <sz val="9.5"/>
    </font>
    <font>
      <name val="Microsoft JhengHei"/>
      <b val="1"/>
      <color rgb="0092400E"/>
      <sz val="10"/>
    </font>
  </fonts>
  <fills count="11">
    <fill>
      <patternFill/>
    </fill>
    <fill>
      <patternFill patternType="gray125"/>
    </fill>
    <fill>
      <patternFill patternType="solid">
        <fgColor rgb="001E293B"/>
        <bgColor rgb="001E293B"/>
      </patternFill>
    </fill>
    <fill>
      <patternFill patternType="solid">
        <fgColor rgb="00334155"/>
        <bgColor rgb="00334155"/>
      </patternFill>
    </fill>
    <fill>
      <patternFill patternType="solid">
        <fgColor rgb="00E2E8F0"/>
        <bgColor rgb="00E2E8F0"/>
      </patternFill>
    </fill>
    <fill>
      <patternFill patternType="solid">
        <fgColor rgb="00F8FAFC"/>
        <bgColor rgb="00F8FAFC"/>
      </patternFill>
    </fill>
    <fill>
      <patternFill patternType="solid">
        <fgColor rgb="00312E81"/>
        <bgColor rgb="00312E81"/>
      </patternFill>
    </fill>
    <fill>
      <patternFill patternType="solid">
        <fgColor rgb="004338CA"/>
        <bgColor rgb="004338CA"/>
      </patternFill>
    </fill>
    <fill>
      <patternFill patternType="solid">
        <fgColor rgb="00FFFFFF"/>
        <bgColor rgb="00FFFFFF"/>
      </patternFill>
    </fill>
    <fill>
      <patternFill patternType="solid">
        <fgColor rgb="00EEF2F6"/>
        <bgColor rgb="00EEF2F6"/>
      </patternFill>
    </fill>
    <fill>
      <patternFill patternType="solid">
        <fgColor rgb="0078350F"/>
        <bgColor rgb="0078350F"/>
      </patternFill>
    </fill>
  </fills>
  <borders count="12">
    <border>
      <left/>
      <right/>
      <top/>
      <bottom/>
      <diagonal/>
    </border>
    <border>
      <left style="thin">
        <color rgb="00CBD5E1"/>
      </left>
      <top style="thin">
        <color rgb="00CBD5E1"/>
      </top>
    </border>
    <border>
      <top style="thin">
        <color rgb="00CBD5E1"/>
      </top>
    </border>
    <border>
      <right style="thin">
        <color rgb="00CBD5E1"/>
      </right>
      <top style="thin">
        <color rgb="00CBD5E1"/>
      </top>
    </border>
    <border>
      <left style="thin">
        <color rgb="00CBD5E1"/>
      </left>
    </border>
    <border/>
    <border>
      <right style="thin">
        <color rgb="00CBD5E1"/>
      </right>
    </border>
    <border>
      <left style="thin">
        <color rgb="00CBD5E1"/>
      </left>
      <bottom style="thin">
        <color rgb="00CBD5E1"/>
      </bottom>
    </border>
    <border>
      <bottom style="thin">
        <color rgb="00CBD5E1"/>
      </bottom>
    </border>
    <border>
      <right style="thin">
        <color rgb="00CBD5E1"/>
      </right>
      <bottom style="thin">
        <color rgb="00CBD5E1"/>
      </bottom>
    </border>
    <border>
      <left style="thin">
        <color rgb="00CBD5E1"/>
      </left>
      <right style="thin">
        <color rgb="00CBD5E1"/>
      </right>
      <top style="thin">
        <color rgb="00CBD5E1"/>
      </top>
      <bottom style="thin">
        <color rgb="00CBD5E1"/>
      </bottom>
    </border>
    <border>
      <left style="thin">
        <color rgb="00CBD5E1"/>
      </left>
      <right style="thin">
        <color rgb="00CBD5E1"/>
      </right>
      <top style="thin">
        <color rgb="00CBD5E1"/>
      </top>
      <bottom style="medium">
        <color rgb="001E293B"/>
      </bottom>
    </border>
  </borders>
  <cellStyleXfs count="1">
    <xf numFmtId="0" fontId="0" fillId="0" borderId="0"/>
  </cellStyleXfs>
  <cellXfs count="62">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left" vertical="center" indent="1"/>
    </xf>
    <xf numFmtId="0" fontId="0" fillId="0" borderId="2" pivotButton="0" quotePrefix="0" xfId="0"/>
    <xf numFmtId="0" fontId="0" fillId="0" borderId="3" pivotButton="0" quotePrefix="0" xfId="0"/>
    <xf numFmtId="0" fontId="4" fillId="5" borderId="4" applyAlignment="1" pivotButton="0" quotePrefix="0" xfId="0">
      <alignment horizontal="left" vertical="center" indent="1"/>
    </xf>
    <xf numFmtId="0" fontId="0" fillId="0" borderId="5" pivotButton="0" quotePrefix="0" xfId="0"/>
    <xf numFmtId="0" fontId="0" fillId="0" borderId="6" pivotButton="0" quotePrefix="0" xfId="0"/>
    <xf numFmtId="0" fontId="4" fillId="5" borderId="7" applyAlignment="1" pivotButton="0" quotePrefix="0" xfId="0">
      <alignment horizontal="left" vertical="center" indent="1"/>
    </xf>
    <xf numFmtId="0" fontId="0" fillId="0" borderId="8" pivotButton="0" quotePrefix="0" xfId="0"/>
    <xf numFmtId="0" fontId="0" fillId="0" borderId="9" pivotButton="0" quotePrefix="0" xfId="0"/>
    <xf numFmtId="0" fontId="5" fillId="6" borderId="0" applyAlignment="1" pivotButton="0" quotePrefix="0" xfId="0">
      <alignment horizontal="left" vertical="center" indent="1"/>
    </xf>
    <xf numFmtId="0" fontId="6" fillId="7" borderId="10" applyAlignment="1" pivotButton="0" quotePrefix="0" xfId="0">
      <alignment horizontal="center" vertical="center" wrapText="1"/>
    </xf>
    <xf numFmtId="0" fontId="7" fillId="8" borderId="10" applyAlignment="1" pivotButton="0" quotePrefix="0" xfId="0">
      <alignment horizontal="left" vertical="center" indent="1"/>
    </xf>
    <xf numFmtId="3" fontId="7" fillId="8" borderId="10" applyAlignment="1" pivotButton="0" quotePrefix="0" xfId="0">
      <alignment horizontal="center" vertical="center" wrapText="1"/>
    </xf>
    <xf numFmtId="164" fontId="7" fillId="8" borderId="10" applyAlignment="1" pivotButton="0" quotePrefix="0" xfId="0">
      <alignment horizontal="center" vertical="center" wrapText="1"/>
    </xf>
    <xf numFmtId="0" fontId="7" fillId="5" borderId="10" applyAlignment="1" pivotButton="0" quotePrefix="0" xfId="0">
      <alignment horizontal="left" vertical="center" indent="1"/>
    </xf>
    <xf numFmtId="3" fontId="7" fillId="5" borderId="10" applyAlignment="1" pivotButton="0" quotePrefix="0" xfId="0">
      <alignment horizontal="center" vertical="center" wrapText="1"/>
    </xf>
    <xf numFmtId="164" fontId="7" fillId="5" borderId="10" applyAlignment="1" pivotButton="0" quotePrefix="0" xfId="0">
      <alignment horizontal="center" vertical="center" wrapText="1"/>
    </xf>
    <xf numFmtId="0" fontId="8" fillId="9" borderId="11" applyAlignment="1" pivotButton="0" quotePrefix="0" xfId="0">
      <alignment horizontal="left" vertical="center" indent="1"/>
    </xf>
    <xf numFmtId="3" fontId="8" fillId="9" borderId="11" applyAlignment="1" pivotButton="0" quotePrefix="0" xfId="0">
      <alignment horizontal="center" vertical="center" wrapText="1"/>
    </xf>
    <xf numFmtId="164" fontId="9" fillId="9" borderId="11" applyAlignment="1" pivotButton="0" quotePrefix="0" xfId="0">
      <alignment horizontal="center" vertical="center" wrapText="1"/>
    </xf>
    <xf numFmtId="0" fontId="10" fillId="0" borderId="0" applyAlignment="1" pivotButton="0" quotePrefix="0" xfId="0">
      <alignment horizontal="left" vertical="center" indent="1"/>
    </xf>
    <xf numFmtId="0" fontId="11" fillId="0" borderId="0" applyAlignment="1" pivotButton="0" quotePrefix="0" xfId="0">
      <alignment horizontal="left" vertical="center" indent="1"/>
    </xf>
    <xf numFmtId="0" fontId="6" fillId="2" borderId="10" applyAlignment="1" pivotButton="0" quotePrefix="0" xfId="0">
      <alignment horizontal="center" vertical="center" wrapText="1"/>
    </xf>
    <xf numFmtId="0" fontId="12" fillId="8" borderId="10" applyAlignment="1" pivotButton="0" quotePrefix="0" xfId="0">
      <alignment horizontal="center" vertical="center" wrapText="1"/>
    </xf>
    <xf numFmtId="0" fontId="13" fillId="8" borderId="10" applyAlignment="1" pivotButton="0" quotePrefix="0" xfId="0">
      <alignment horizontal="center" vertical="center" wrapText="1"/>
    </xf>
    <xf numFmtId="0" fontId="14" fillId="8" borderId="10" applyAlignment="1" pivotButton="0" quotePrefix="0" xfId="0">
      <alignment horizontal="center" vertical="center" wrapText="1"/>
    </xf>
    <xf numFmtId="0" fontId="15" fillId="8" borderId="10" applyAlignment="1" pivotButton="0" quotePrefix="0" xfId="0">
      <alignment horizontal="left" vertical="center" wrapText="1"/>
    </xf>
    <xf numFmtId="0" fontId="16" fillId="8" borderId="10" applyAlignment="1" pivotButton="0" quotePrefix="0" xfId="0">
      <alignment horizontal="left" vertical="center" wrapText="1"/>
    </xf>
    <xf numFmtId="0" fontId="7" fillId="8" borderId="10" applyAlignment="1" pivotButton="0" quotePrefix="0" xfId="0">
      <alignment horizontal="left" vertical="center" wrapText="1"/>
    </xf>
    <xf numFmtId="0" fontId="17" fillId="8" borderId="10" applyAlignment="1" pivotButton="0" quotePrefix="0" xfId="0">
      <alignment horizontal="left" vertical="center" wrapText="1"/>
    </xf>
    <xf numFmtId="0" fontId="18" fillId="8" borderId="10" applyAlignment="1" pivotButton="0" quotePrefix="0" xfId="0">
      <alignment horizontal="center" vertical="center" wrapText="1"/>
    </xf>
    <xf numFmtId="0" fontId="15" fillId="8" borderId="10" applyAlignment="1" pivotButton="0" quotePrefix="0" xfId="0">
      <alignment horizontal="center" vertical="center" wrapText="1"/>
    </xf>
    <xf numFmtId="0" fontId="19" fillId="8" borderId="10" applyAlignment="1" pivotButton="0" quotePrefix="0" xfId="0">
      <alignment horizontal="center" vertical="center" wrapText="1"/>
    </xf>
    <xf numFmtId="0" fontId="12" fillId="5" borderId="10" applyAlignment="1" pivotButton="0" quotePrefix="0" xfId="0">
      <alignment horizontal="center" vertical="center" wrapText="1"/>
    </xf>
    <xf numFmtId="0" fontId="13" fillId="5" borderId="10" applyAlignment="1" pivotButton="0" quotePrefix="0" xfId="0">
      <alignment horizontal="center" vertical="center" wrapText="1"/>
    </xf>
    <xf numFmtId="0" fontId="14" fillId="5" borderId="10" applyAlignment="1" pivotButton="0" quotePrefix="0" xfId="0">
      <alignment horizontal="center" vertical="center" wrapText="1"/>
    </xf>
    <xf numFmtId="0" fontId="15" fillId="5" borderId="10" applyAlignment="1" pivotButton="0" quotePrefix="0" xfId="0">
      <alignment horizontal="left" vertical="center" wrapText="1"/>
    </xf>
    <xf numFmtId="0" fontId="16" fillId="5" borderId="10" applyAlignment="1" pivotButton="0" quotePrefix="0" xfId="0">
      <alignment horizontal="left" vertical="center" wrapText="1"/>
    </xf>
    <xf numFmtId="0" fontId="7" fillId="5" borderId="10" applyAlignment="1" pivotButton="0" quotePrefix="0" xfId="0">
      <alignment horizontal="left" vertical="center" wrapText="1"/>
    </xf>
    <xf numFmtId="0" fontId="17" fillId="5" borderId="10" applyAlignment="1" pivotButton="0" quotePrefix="0" xfId="0">
      <alignment horizontal="left" vertical="center" wrapText="1"/>
    </xf>
    <xf numFmtId="0" fontId="18" fillId="5" borderId="10" applyAlignment="1" pivotButton="0" quotePrefix="0" xfId="0">
      <alignment horizontal="center" vertical="center" wrapText="1"/>
    </xf>
    <xf numFmtId="0" fontId="15" fillId="5" borderId="10" applyAlignment="1" pivotButton="0" quotePrefix="0" xfId="0">
      <alignment horizontal="center" vertical="center" wrapText="1"/>
    </xf>
    <xf numFmtId="0" fontId="19" fillId="5" borderId="10" applyAlignment="1" pivotButton="0" quotePrefix="0" xfId="0">
      <alignment horizontal="center" vertical="center" wrapText="1"/>
    </xf>
    <xf numFmtId="0" fontId="6" fillId="6" borderId="10" applyAlignment="1" pivotButton="0" quotePrefix="0" xfId="0">
      <alignment horizontal="center" vertical="center" wrapText="1"/>
    </xf>
    <xf numFmtId="0" fontId="11" fillId="8" borderId="10" applyAlignment="1" pivotButton="0" quotePrefix="0" xfId="0">
      <alignment horizontal="center" vertical="center" wrapText="1"/>
    </xf>
    <xf numFmtId="0" fontId="20" fillId="8" borderId="10" applyAlignment="1" pivotButton="0" quotePrefix="0" xfId="0">
      <alignment horizontal="left" vertical="center" wrapText="1"/>
    </xf>
    <xf numFmtId="0" fontId="21" fillId="8" borderId="10" applyAlignment="1" pivotButton="0" quotePrefix="0" xfId="0">
      <alignment horizontal="center" vertical="center" wrapText="1"/>
    </xf>
    <xf numFmtId="0" fontId="22" fillId="8" borderId="10" applyAlignment="1" pivotButton="0" quotePrefix="0" xfId="0">
      <alignment horizontal="left" vertical="center" wrapText="1"/>
    </xf>
    <xf numFmtId="0" fontId="23" fillId="8" borderId="10" applyAlignment="1" pivotButton="0" quotePrefix="0" xfId="0">
      <alignment horizontal="left" vertical="center" wrapText="1"/>
    </xf>
    <xf numFmtId="0" fontId="11" fillId="5" borderId="10" applyAlignment="1" pivotButton="0" quotePrefix="0" xfId="0">
      <alignment horizontal="center" vertical="center" wrapText="1"/>
    </xf>
    <xf numFmtId="0" fontId="20" fillId="5" borderId="10" applyAlignment="1" pivotButton="0" quotePrefix="0" xfId="0">
      <alignment horizontal="left" vertical="center" wrapText="1"/>
    </xf>
    <xf numFmtId="0" fontId="21" fillId="5" borderId="10" applyAlignment="1" pivotButton="0" quotePrefix="0" xfId="0">
      <alignment horizontal="center" vertical="center" wrapText="1"/>
    </xf>
    <xf numFmtId="0" fontId="22" fillId="5" borderId="10" applyAlignment="1" pivotButton="0" quotePrefix="0" xfId="0">
      <alignment horizontal="left" vertical="center" wrapText="1"/>
    </xf>
    <xf numFmtId="0" fontId="23" fillId="5" borderId="10" applyAlignment="1" pivotButton="0" quotePrefix="0" xfId="0">
      <alignment horizontal="left" vertical="center" wrapText="1"/>
    </xf>
    <xf numFmtId="0" fontId="6" fillId="10" borderId="10" applyAlignment="1" pivotButton="0" quotePrefix="0" xfId="0">
      <alignment horizontal="center" vertical="center" wrapText="1"/>
    </xf>
    <xf numFmtId="0" fontId="24" fillId="8" borderId="10" applyAlignment="1" pivotButton="0" quotePrefix="0" xfId="0">
      <alignment horizontal="center" vertical="center" wrapText="1"/>
    </xf>
    <xf numFmtId="0" fontId="25" fillId="8" borderId="10" applyAlignment="1" pivotButton="0" quotePrefix="0" xfId="0">
      <alignment horizontal="left" vertical="center" wrapText="1"/>
    </xf>
    <xf numFmtId="0" fontId="24" fillId="5" borderId="10" applyAlignment="1" pivotButton="0" quotePrefix="0" xfId="0">
      <alignment horizontal="center" vertical="center" wrapText="1"/>
    </xf>
    <xf numFmtId="0" fontId="25" fillId="5" borderId="10" applyAlignment="1" pivotButton="0" quotePrefix="0" xfId="0">
      <alignment horizontal="left" vertical="center" wrapText="1"/>
    </xf>
  </cellXfs>
  <cellStyles count="1">
    <cellStyle name="Normal" xfId="0" builtinId="0" hidden="0"/>
  </cellStyles>
  <dxfs count="4">
    <dxf>
      <font>
        <name val="Microsoft JhengHei"/>
        <b val="1"/>
        <color rgb="00166534"/>
        <sz val="9.5"/>
      </font>
      <fill>
        <patternFill patternType="solid">
          <fgColor rgb="00DCFCE7"/>
          <bgColor rgb="00DCFCE7"/>
        </patternFill>
      </fill>
    </dxf>
    <dxf>
      <font>
        <name val="Microsoft JhengHei"/>
        <b val="1"/>
        <color rgb="00991B1B"/>
        <sz val="9.5"/>
      </font>
      <fill>
        <patternFill patternType="solid">
          <fgColor rgb="00FEE2E2"/>
          <bgColor rgb="00FEE2E2"/>
        </patternFill>
      </fill>
    </dxf>
    <dxf>
      <font>
        <name val="Microsoft JhengHei"/>
        <b val="1"/>
        <color rgb="003730A3"/>
        <sz val="9.5"/>
      </font>
      <fill>
        <patternFill patternType="solid">
          <fgColor rgb="00E0E7FF"/>
          <bgColor rgb="00E0E7FF"/>
        </patternFill>
      </fill>
    </dxf>
    <dxf>
      <font>
        <name val="Microsoft JhengHei"/>
        <b val="1"/>
        <color rgb="0092400E"/>
        <sz val="9.5"/>
      </font>
      <fill>
        <patternFill patternType="solid">
          <fgColor rgb="00FEF3C7"/>
          <bgColor rgb="00FEF3C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I22"/>
  <sheetViews>
    <sheetView showGridLines="1" workbookViewId="0">
      <selection activeCell="A1" sqref="A1"/>
    </sheetView>
  </sheetViews>
  <sheetFormatPr baseColWidth="8" defaultRowHeight="15"/>
  <cols>
    <col width="3" customWidth="1" min="1" max="1"/>
    <col width="28" customWidth="1" min="2" max="2"/>
    <col width="16" customWidth="1" min="3" max="3"/>
    <col width="16" customWidth="1" min="4" max="4"/>
    <col width="16" customWidth="1" min="5" max="5"/>
    <col width="16" customWidth="1" min="6" max="6"/>
    <col width="16" customWidth="1" min="7" max="7"/>
    <col width="16" customWidth="1" min="8" max="8"/>
    <col width="18" customWidth="1" min="9" max="9"/>
  </cols>
  <sheetData>
    <row r="2" ht="36" customHeight="1">
      <c r="B2" s="1" t="inlineStr">
        <is>
          <t>工作的管見（My Two Cents） — 職場生存與成長的避坑指南</t>
        </is>
      </c>
    </row>
    <row r="3" ht="24" customHeight="1">
      <c r="B3" s="2" t="inlineStr">
        <is>
          <t>英文・中文・台文 三語對照校稿手冊（Excel 試算校對版） | 產出時間：2026-10-17 07:23</t>
        </is>
      </c>
    </row>
    <row r="5" ht="25" customHeight="1">
      <c r="B5" s="3" t="inlineStr">
        <is>
          <t>【校稿操作指引與使用說明】</t>
        </is>
      </c>
      <c r="C5" s="4" t="n"/>
      <c r="D5" s="4" t="n"/>
      <c r="E5" s="4" t="n"/>
      <c r="F5" s="4" t="n"/>
      <c r="G5" s="4" t="n"/>
      <c r="H5" s="4" t="n"/>
      <c r="I5" s="5" t="n"/>
    </row>
    <row r="6" ht="22" customHeight="1">
      <c r="B6" s="6" t="inlineStr">
        <is>
          <t>1. 本校稿工作表完整收錄全書 458 條實務原則卡牌、20 大核心原則與 53 則篇章金句，專為三語精準對照、審定與批註修訂設計。</t>
        </is>
      </c>
      <c r="C6" s="7" t="n"/>
      <c r="D6" s="7" t="n"/>
      <c r="E6" s="7" t="n"/>
      <c r="F6" s="7" t="n"/>
      <c r="G6" s="7" t="n"/>
      <c r="H6" s="7" t="n"/>
      <c r="I6" s="8" t="n"/>
    </row>
    <row r="7" ht="22" customHeight="1">
      <c r="B7" s="6" t="inlineStr">
        <is>
          <t>2. 校稿狀態選單：請在各工作表之「校對狀態」欄位點選下拉選單，選取：【通過】、【待修】、【已修訂】、【有疑問】、【未校對】。</t>
        </is>
      </c>
      <c r="C7" s="7" t="n"/>
      <c r="D7" s="7" t="n"/>
      <c r="E7" s="7" t="n"/>
      <c r="F7" s="7" t="n"/>
      <c r="G7" s="7" t="n"/>
      <c r="H7" s="7" t="n"/>
      <c r="I7" s="8" t="n"/>
    </row>
    <row r="8" ht="22" customHeight="1">
      <c r="B8" s="6" t="inlineStr">
        <is>
          <t>3. 狀態顏色高亮：選取狀態後儲存格自動變色（綠色=通過、紅色=待修、藍色=已修訂、黃色=有疑問），視覺化追蹤極為直覺。</t>
        </is>
      </c>
      <c r="C8" s="7" t="n"/>
      <c r="D8" s="7" t="n"/>
      <c r="E8" s="7" t="n"/>
      <c r="F8" s="7" t="n"/>
      <c r="G8" s="7" t="n"/>
      <c r="H8" s="7" t="n"/>
      <c r="I8" s="8" t="n"/>
    </row>
    <row r="9" ht="22" customHeight="1">
      <c r="B9" s="6" t="inlineStr">
        <is>
          <t>4. 即時統計儀表板：下方表格會依據您在各工作表填寫的校對狀態，自動透過 Excel 公式計算通過率與剩餘待審項目。</t>
        </is>
      </c>
      <c r="C9" s="7" t="n"/>
      <c r="D9" s="7" t="n"/>
      <c r="E9" s="7" t="n"/>
      <c r="F9" s="7" t="n"/>
      <c r="G9" s="7" t="n"/>
      <c r="H9" s="7" t="n"/>
      <c r="I9" s="8" t="n"/>
    </row>
    <row r="10" ht="22" customHeight="1">
      <c r="B10" s="9" t="inlineStr">
        <is>
          <t>5. 凍結窗格與篩選：各工作表首列已鎖定標題列，並已啟用自動篩選 (AutoFilter)，方便隨時依投影片或校對狀態快速篩選。</t>
        </is>
      </c>
      <c r="C10" s="10" t="n"/>
      <c r="D10" s="10" t="n"/>
      <c r="E10" s="10" t="n"/>
      <c r="F10" s="10" t="n"/>
      <c r="G10" s="10" t="n"/>
      <c r="H10" s="10" t="n"/>
      <c r="I10" s="11" t="n"/>
    </row>
    <row r="12" ht="28" customHeight="1">
      <c r="B12" s="12" t="inlineStr">
        <is>
          <t>■ 全書三語校對進度儀表板 (即時公式動態統計)</t>
        </is>
      </c>
    </row>
    <row r="13" ht="28" customHeight="1">
      <c r="B13" s="13" t="inlineStr">
        <is>
          <t>項目類別 (Category)</t>
        </is>
      </c>
      <c r="C13" s="13" t="inlineStr">
        <is>
          <t>收錄總數 (Total)</t>
        </is>
      </c>
      <c r="D13" s="13" t="inlineStr">
        <is>
          <t>審定通過 (Passed)</t>
        </is>
      </c>
      <c r="E13" s="13" t="inlineStr">
        <is>
          <t>待修訂 (Needs Fix)</t>
        </is>
      </c>
      <c r="F13" s="13" t="inlineStr">
        <is>
          <t>已修訂 (Revised)</t>
        </is>
      </c>
      <c r="G13" s="13" t="inlineStr">
        <is>
          <t>有疑問 (Questions)</t>
        </is>
      </c>
      <c r="H13" s="13" t="inlineStr">
        <is>
          <t>未校對 (Unchecked)</t>
        </is>
      </c>
      <c r="I13" s="13" t="inlineStr">
        <is>
          <t>完成進度 (Progress)</t>
        </is>
      </c>
    </row>
    <row r="14" ht="25" customHeight="1">
      <c r="B14" s="14" t="inlineStr">
        <is>
          <t>實務原則卡牌（458 條）</t>
        </is>
      </c>
      <c r="C14" s="15">
        <f>COUNTA('實務原則卡牌校對 (458條)'!B2:B459)</f>
        <v/>
      </c>
      <c r="D14" s="15">
        <f>COUNTIF('實務原則卡牌校對 (458條)'!H2:H459, "通過")</f>
        <v/>
      </c>
      <c r="E14" s="15">
        <f>COUNTIF('實務原則卡牌校對 (458條)'!H2:H459, "待修")</f>
        <v/>
      </c>
      <c r="F14" s="15">
        <f>COUNTIF('實務原則卡牌校對 (458條)'!H2:H459, "已修訂")</f>
        <v/>
      </c>
      <c r="G14" s="15">
        <f>COUNTIF('實務原則卡牌校對 (458條)'!H2:H459, "有疑問")</f>
        <v/>
      </c>
      <c r="H14" s="15">
        <f>C14-D14-E14-F14-G14</f>
        <v/>
      </c>
      <c r="I14" s="16">
        <f>(D14+F14)/C14</f>
        <v/>
      </c>
    </row>
    <row r="15" ht="25" customHeight="1">
      <c r="B15" s="17" t="inlineStr">
        <is>
          <t>20 大核心原則</t>
        </is>
      </c>
      <c r="C15" s="18">
        <f>COUNTA('20大核心原則校對'!C2:C21)</f>
        <v/>
      </c>
      <c r="D15" s="18">
        <f>COUNTIF('20大核心原則校對'!I2:I21, "通過")</f>
        <v/>
      </c>
      <c r="E15" s="18">
        <f>COUNTIF('20大核心原則校對'!I2:I21, "待修")</f>
        <v/>
      </c>
      <c r="F15" s="18">
        <f>COUNTIF('20大核心原則校對'!I2:I21, "已修訂")</f>
        <v/>
      </c>
      <c r="G15" s="18">
        <f>COUNTIF('20大核心原則校對'!I2:I21, "有疑問")</f>
        <v/>
      </c>
      <c r="H15" s="18">
        <f>C15-D15-E15-F15-G15</f>
        <v/>
      </c>
      <c r="I15" s="19">
        <f>(D15+F15)/C15</f>
        <v/>
      </c>
    </row>
    <row r="16" ht="25" customHeight="1">
      <c r="B16" s="14" t="inlineStr">
        <is>
          <t>篇章核心指引金句（53 則）</t>
        </is>
      </c>
      <c r="C16" s="15">
        <f>COUNTA('篇章核心指引金句 (53則)'!C2:C54)</f>
        <v/>
      </c>
      <c r="D16" s="15">
        <f>COUNTIF('篇章核心指引金句 (53則)'!E2:E54, "通過")</f>
        <v/>
      </c>
      <c r="E16" s="15">
        <f>COUNTIF('篇章核心指引金句 (53則)'!E2:E54, "待修")</f>
        <v/>
      </c>
      <c r="F16" s="15">
        <f>COUNTIF('篇章核心指引金句 (53則)'!E2:E54, "已修訂")</f>
        <v/>
      </c>
      <c r="G16" s="15">
        <f>COUNTIF('篇章核心指引金句 (53則)'!E2:E54, "有疑問")</f>
        <v/>
      </c>
      <c r="H16" s="15">
        <f>C16-D16-E16-F16-G16</f>
        <v/>
      </c>
      <c r="I16" s="16">
        <f>(D16+F16)/C16</f>
        <v/>
      </c>
    </row>
    <row r="17" ht="25" customHeight="1">
      <c r="B17" s="20" t="inlineStr">
        <is>
          <t>全書合計 (Overall Total)</t>
        </is>
      </c>
      <c r="C17" s="21">
        <f>SUM(C14:C16)</f>
        <v/>
      </c>
      <c r="D17" s="21">
        <f>SUM(D14:D16)</f>
        <v/>
      </c>
      <c r="E17" s="21">
        <f>SUM(E14:E16)</f>
        <v/>
      </c>
      <c r="F17" s="21">
        <f>SUM(F14:F16)</f>
        <v/>
      </c>
      <c r="G17" s="21">
        <f>SUM(G14:G16)</f>
        <v/>
      </c>
      <c r="H17" s="21">
        <f>SUM(H14:H16)</f>
        <v/>
      </c>
      <c r="I17" s="22">
        <f>(D17+F17)/C17</f>
        <v/>
      </c>
    </row>
    <row r="19">
      <c r="B19" s="23" t="inlineStr">
        <is>
          <t>【工作表快速導覽】</t>
        </is>
      </c>
    </row>
    <row r="20" ht="20" customHeight="1">
      <c r="B20" s="24" t="inlineStr">
        <is>
          <t>• 『實務原則卡牌校對 (458條)』工作表：完整 458 條原則卡牌，包含投影片頁次、原文、優化英中台三語與批註欄。</t>
        </is>
      </c>
    </row>
    <row r="21" ht="20" customHeight="1">
      <c r="B21" s="24" t="inlineStr">
        <is>
          <t>• 『20大核心原則校對』工作表：全書 20 大核心原則，依六大篇章分類對照，含對應實務卡牌編號清單。</t>
        </is>
      </c>
    </row>
    <row r="22" ht="20" customHeight="1">
      <c r="B22" s="24" t="inlineStr">
        <is>
          <t>• 『篇章核心指引金句 (53則)』工作表：六大篇章之 53 則引導星號金句，審閱精準度與文化語韻。</t>
        </is>
      </c>
    </row>
  </sheetData>
  <mergeCells count="13">
    <mergeCell ref="B9:I9"/>
    <mergeCell ref="B12:I12"/>
    <mergeCell ref="B21:I21"/>
    <mergeCell ref="B7:I7"/>
    <mergeCell ref="B6:I6"/>
    <mergeCell ref="B2:I2"/>
    <mergeCell ref="B20:I20"/>
    <mergeCell ref="B10:I10"/>
    <mergeCell ref="B3:I3"/>
    <mergeCell ref="B5:I5"/>
    <mergeCell ref="B19:I19"/>
    <mergeCell ref="B22:I22"/>
    <mergeCell ref="B8:I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59"/>
  <sheetViews>
    <sheetView showGridLines="1" workbookViewId="0">
      <pane ySplit="1" topLeftCell="A2" activePane="bottomLeft" state="frozen"/>
      <selection pane="bottomLeft" activeCell="A1" sqref="A1"/>
    </sheetView>
  </sheetViews>
  <sheetFormatPr baseColWidth="8" defaultRowHeight="15"/>
  <cols>
    <col width="11" customWidth="1" min="1" max="1"/>
    <col width="14" customWidth="1" min="2" max="2"/>
    <col width="18" customWidth="1" min="3" max="3"/>
    <col width="44" customWidth="1" min="4" max="4"/>
    <col width="48" customWidth="1" min="5" max="5"/>
    <col width="44" customWidth="1" min="6" max="6"/>
    <col width="44" customWidth="1" min="7" max="7"/>
    <col width="14" customWidth="1" min="8" max="8"/>
    <col width="36" customWidth="1" min="9" max="9"/>
    <col width="13" customWidth="1" min="10" max="10"/>
    <col width="14" customWidth="1" min="11" max="11"/>
  </cols>
  <sheetData>
    <row r="1" ht="30" customHeight="1">
      <c r="A1" s="25" t="inlineStr">
        <is>
          <t>投影片</t>
        </is>
      </c>
      <c r="B1" s="25" t="inlineStr">
        <is>
          <t>卡牌編號</t>
        </is>
      </c>
      <c r="C1" s="25" t="inlineStr">
        <is>
          <t>關聯核心原則</t>
        </is>
      </c>
      <c r="D1" s="25" t="inlineStr">
        <is>
          <t>投影片原文 (Slide Original)</t>
        </is>
      </c>
      <c r="E1" s="25" t="inlineStr">
        <is>
          <t>優化英文 (Polished English)</t>
        </is>
      </c>
      <c r="F1" s="25" t="inlineStr">
        <is>
          <t>優化中文 (Polished Mandarin)</t>
        </is>
      </c>
      <c r="G1" s="25" t="inlineStr">
        <is>
          <t>優化台文 (Polished Taiwanese)</t>
        </is>
      </c>
      <c r="H1" s="25" t="inlineStr">
        <is>
          <t>校對狀態</t>
        </is>
      </c>
      <c r="I1" s="25" t="inlineStr">
        <is>
          <t>修訂建議與批註</t>
        </is>
      </c>
      <c r="J1" s="25" t="inlineStr">
        <is>
          <t>校對人</t>
        </is>
      </c>
      <c r="K1" s="25" t="inlineStr">
        <is>
          <t>校對日期</t>
        </is>
      </c>
    </row>
    <row r="2" ht="24" customHeight="1">
      <c r="A2" s="26" t="inlineStr">
        <is>
          <t>Slide 1</t>
        </is>
      </c>
      <c r="B2" s="27" t="inlineStr">
        <is>
          <t>No. 1</t>
        </is>
      </c>
      <c r="C2" s="28" t="inlineStr">
        <is>
          <t>原則 1, 原則 2</t>
        </is>
      </c>
      <c r="D2" s="29" t="inlineStr">
        <is>
          <t>Add your leave and personal work time, even business trip and national holiday in the calendar. Automatic email replies. Request to resend the email. When you back to office, your colleagues can set delayed delivery for email sending on certain date. Item 82. Plan in the canlender.</t>
        </is>
      </c>
      <c r="E2" s="30" t="inlineStr">
        <is>
          <t>Block out all leave, personal work time, business trips, and national holidays in your calendar. Set up automatic out-of-office email replies (prompting senders to follow up upon your return if needed). When you return, colleagues can use delayed email delivery to stagger messages. Plan everything directly in your calendar (refer to Item 82).</t>
        </is>
      </c>
      <c r="F2" s="31" t="inlineStr">
        <is>
          <t>在行事曆中完整排定假勤、個人專注工作時間、出差與國定假日。同步設定電子郵件自動回覆（可提醒寄件者於返工後再發送），同仁亦可利用預約定時寄件功能於特定日期遞送郵件。養成將所有工作與休假妥善規劃於行事曆中的習慣（參見第 82 項）。</t>
        </is>
      </c>
      <c r="G2" s="32" t="inlineStr">
        <is>
          <t>共請假、家己專注做工的時間、出差佮國定節日攏排入行事曆。電子信設好自動回覆（請人等你轉來才閣重寄）。轉來公司了後，同仁嘛會用得設預約寄信。代誌佇行事曆先排好勢，才袂手忙跤亂、掠無頭總（參照第 82 項）。</t>
        </is>
      </c>
      <c r="H2" s="33" t="inlineStr"/>
      <c r="I2" s="29" t="inlineStr"/>
      <c r="J2" s="34" t="inlineStr"/>
      <c r="K2" s="35" t="inlineStr"/>
    </row>
    <row r="3" ht="24" customHeight="1">
      <c r="A3" s="36" t="inlineStr">
        <is>
          <t>Slide 1</t>
        </is>
      </c>
      <c r="B3" s="37" t="inlineStr">
        <is>
          <t>No. 2</t>
        </is>
      </c>
      <c r="C3" s="38" t="inlineStr">
        <is>
          <t>原則 9</t>
        </is>
      </c>
      <c r="D3" s="39" t="inlineStr">
        <is>
          <t>Ask politely with reason and watch out your voice tone. Soft skills related to how to communicate and ask. ( rephrase if needed)</t>
        </is>
      </c>
      <c r="E3" s="40" t="inlineStr">
        <is>
          <t>Communicate requests politely by providing clear rationale while monitoring your tone of voice. Mastering these soft skills ensures effective and harmonious professional communication.</t>
        </is>
      </c>
      <c r="F3" s="41" t="inlineStr">
        <is>
          <t>提問或要求時應禮貌並說明具體原因，同時注意說話的語氣與聲調。掌握這類溝通與表達的軟實力，能讓職場互動更加順暢與和諧。</t>
        </is>
      </c>
      <c r="G3" s="42" t="inlineStr">
        <is>
          <t>拜託人抑是問代誌愛客氣有禮數，共因由講清楚，講話聲調佮氣口愛斟酌（看情形換較順耳的講法）。掌握溝通問話的軟實力，手腕幼路，代誌才好參詳。</t>
        </is>
      </c>
      <c r="H3" s="43" t="inlineStr"/>
      <c r="I3" s="39" t="inlineStr"/>
      <c r="J3" s="44" t="inlineStr"/>
      <c r="K3" s="45" t="inlineStr"/>
    </row>
    <row r="4" ht="24" customHeight="1">
      <c r="A4" s="26" t="inlineStr">
        <is>
          <t>Slide 1</t>
        </is>
      </c>
      <c r="B4" s="27" t="inlineStr">
        <is>
          <t>No. 3</t>
        </is>
      </c>
      <c r="C4" s="28" t="inlineStr">
        <is>
          <t>原則 10</t>
        </is>
      </c>
      <c r="D4" s="29" t="inlineStr">
        <is>
          <t>Prepare questions during the meeting. // Understand agenda and what is the potential / desired outcome to make. (OKR)，" 自由人" → ask good question to yourself</t>
        </is>
      </c>
      <c r="E4" s="30" t="inlineStr">
        <is>
          <t>Prepare thoughtful questions prior to or during meetings by understanding the agenda and desired outcomes (aligning with OKRs). As an autonomous professional, continuously ask yourself sharp questions to drive clarity.</t>
        </is>
      </c>
      <c r="F4" s="31" t="inlineStr">
        <is>
          <t>開會前與會議中應預先準備好問題，充分理解會議議程與預期目標（結合 OKR 思考）。作為一位自主獨立的專業人士，更要養成向自己提出好問題的習慣。</t>
        </is>
      </c>
      <c r="G4" s="32" t="inlineStr">
        <is>
          <t>開會進前佮開會時問題先備便，共議程佮預期成果想透徹（配合 OKR 盤算）。做一个主動自立的「自由人」，平素時就定定問家己關鍵的好問題。</t>
        </is>
      </c>
      <c r="H4" s="33" t="inlineStr"/>
      <c r="I4" s="29" t="inlineStr"/>
      <c r="J4" s="34" t="inlineStr"/>
      <c r="K4" s="35" t="inlineStr"/>
    </row>
    <row r="5" ht="24" customHeight="1">
      <c r="A5" s="36" t="inlineStr">
        <is>
          <t>Slide 1</t>
        </is>
      </c>
      <c r="B5" s="37" t="inlineStr">
        <is>
          <t>No. 4</t>
        </is>
      </c>
      <c r="C5" s="38" t="inlineStr">
        <is>
          <t>原則 1, 原則 19, 原則 20</t>
        </is>
      </c>
      <c r="D5" s="39" t="inlineStr">
        <is>
          <t>Reserve some buffer for your project, and your sacred time or place. (margin of safety),spend time on your investment, rest, and kinds and family. It is part of investment portfolio. How to use your time. Use scared time for enhancing capability.減法思維，熱情思維，抓大魚，能量管理</t>
        </is>
      </c>
      <c r="E5" s="40" t="inlineStr">
        <is>
          <t>Reserve buffer time for your projects, establishing a "sacred time and place" (a margin of safety) to focus on self-investment, rest, hobbies, and family. Treat time allocation as an investment portfolio. Use your sacred time to enhance your capabilities. (Mindset of subtraction, passion, focus on high-impact tasks, and energy management)</t>
        </is>
      </c>
      <c r="F5" s="41" t="inlineStr">
        <is>
          <t>為專案保留緩衝空間，建立個人的「神聖時間與空間」（安全邊際），用以投資自我、休息與陪伴家人。將時間視為投資組合，利用不被打擾的神聖時間提升自我能力。（實踐減法思維、熱情思維、抓大魚法則與能量管理）</t>
        </is>
      </c>
      <c r="G5" s="42" t="inlineStr">
        <is>
          <t>專案愛留一寡緩衝，留家己的「神聖時間佮所在」（安全邊際），用來投資家己、歇睏佮陪囡仔、厝內人。時間分配當做投資組合，趁無人吵的神聖時間鍛鍊真本領。（減法思維、熱情思維、掠大魚、顧元氣）</t>
        </is>
      </c>
      <c r="H5" s="43" t="inlineStr"/>
      <c r="I5" s="39" t="inlineStr"/>
      <c r="J5" s="44" t="inlineStr"/>
      <c r="K5" s="45" t="inlineStr"/>
    </row>
    <row r="6" ht="24" customHeight="1">
      <c r="A6" s="26" t="inlineStr">
        <is>
          <t>Slide 1</t>
        </is>
      </c>
      <c r="B6" s="27" t="inlineStr">
        <is>
          <t>No. 5</t>
        </is>
      </c>
      <c r="C6" s="28" t="inlineStr">
        <is>
          <t>原則 18</t>
        </is>
      </c>
      <c r="D6" s="29" t="inlineStr">
        <is>
          <t>Don't jump to conclusions too soon. You may use your lizard brain to act. Instinct react is not good. Be humble. You may get wrong. 心理偏見清單</t>
        </is>
      </c>
      <c r="E6" s="30" t="inlineStr">
        <is>
          <t>Avoid rushing to hasty conclusions driven by instinct or the "lizard brain." Maintain humility and acknowledge that your initial impression could be flawed; keep a mental bias checklist handy.</t>
        </is>
      </c>
      <c r="F6" s="31" t="inlineStr">
        <is>
          <t>切忌過早下定論，避免任由蜥蜴腦（本能衝動）來主導反應。保持謙遜，意識到自己也可能犯錯，並對常見的心理偏見保持警覺。</t>
        </is>
      </c>
      <c r="G6" s="32" t="inlineStr">
        <is>
          <t>做代誌莫趕緊落定論，莫順著本能（四跤蛇腦）衝動反應。人愛謙虛，愛記持家己嘛會看走眼，心肝頭備一張「心理偏見清單」，防範想毋著走偏去。</t>
        </is>
      </c>
      <c r="H6" s="33" t="inlineStr"/>
      <c r="I6" s="29" t="inlineStr"/>
      <c r="J6" s="34" t="inlineStr"/>
      <c r="K6" s="35" t="inlineStr"/>
    </row>
    <row r="7" ht="24" customHeight="1">
      <c r="A7" s="36" t="inlineStr">
        <is>
          <t>Slide 1</t>
        </is>
      </c>
      <c r="B7" s="37" t="inlineStr">
        <is>
          <t>No. 6</t>
        </is>
      </c>
      <c r="C7" s="38" t="inlineStr">
        <is>
          <t>原則 1, 原則 20</t>
        </is>
      </c>
      <c r="D7" s="39" t="inlineStr">
        <is>
          <t>Smile Always smile. A friend is better than an enemy. Peace. Stay calm (not impluse) in any direction. breath inhaule,hold, exhaule, hold.</t>
        </is>
      </c>
      <c r="E7" s="40" t="inlineStr">
        <is>
          <t>Always maintain a smile; dynamic cooperation is always better than friction. Stay calm and deliberate in all circumstances. Practice box breathing (inhale, hold, exhale, hold) to regulate your emotions under pressure.</t>
        </is>
      </c>
      <c r="F7" s="41" t="inlineStr">
        <is>
          <t>保持微笑，多一個朋友少一個敵人。無論面對何種局勢，都要保持冷靜與克制，切勿衝動行事。可透過正念呼吸（吸氣、憋氣、呼氣、憋氣）來穩定情緒。</t>
        </is>
      </c>
      <c r="G7" s="42" t="inlineStr">
        <is>
          <t>面頂定定帶笑容，加一个朋友減一个冤仇人，以和為貴。無論拄著啥物風波攏愛沉穩莫衝動。心煩時做四方呼吸（吸氣、憋氣、吐氣、憋氣），氣順心就平。</t>
        </is>
      </c>
      <c r="H7" s="43" t="inlineStr"/>
      <c r="I7" s="39" t="inlineStr"/>
      <c r="J7" s="44" t="inlineStr"/>
      <c r="K7" s="45" t="inlineStr"/>
    </row>
    <row r="8" ht="24" customHeight="1">
      <c r="A8" s="26" t="inlineStr">
        <is>
          <t>Slide 1</t>
        </is>
      </c>
      <c r="B8" s="27" t="inlineStr">
        <is>
          <t>No. 7</t>
        </is>
      </c>
      <c r="C8" s="28" t="inlineStr">
        <is>
          <t>原則 10</t>
        </is>
      </c>
      <c r="D8" s="29" t="inlineStr">
        <is>
          <t>Ask effective questions in meetings. It is best to prepare a list of questions in advanced. Item3.</t>
        </is>
      </c>
      <c r="E8" s="30" t="inlineStr">
        <is>
          <t>Ask high-impact questions in meetings. It is best to prepare a list of questions in advance. (Related to Item 3)</t>
        </is>
      </c>
      <c r="F8" s="31" t="inlineStr">
        <is>
          <t>在會議中提出有效的問題。最理想的做法是提前準備好問題清單。</t>
        </is>
      </c>
      <c r="G8" s="32" t="inlineStr">
        <is>
          <t>開會發問愛問著重點、問入骨。上好佇開會進前就共問題清單先備好勢。（參照第 3 項）</t>
        </is>
      </c>
      <c r="H8" s="33" t="inlineStr"/>
      <c r="I8" s="29" t="inlineStr"/>
      <c r="J8" s="34" t="inlineStr"/>
      <c r="K8" s="35" t="inlineStr"/>
    </row>
    <row r="9" ht="24" customHeight="1">
      <c r="A9" s="36" t="inlineStr">
        <is>
          <t>Slide 1</t>
        </is>
      </c>
      <c r="B9" s="37" t="inlineStr">
        <is>
          <t>No. 8</t>
        </is>
      </c>
      <c r="C9" s="38" t="inlineStr">
        <is>
          <t>原則 4</t>
        </is>
      </c>
      <c r="D9" s="39" t="inlineStr">
        <is>
          <t>Collect thank you notes for your KPI and achievement… Documentation, naming rules. Mise en place.</t>
        </is>
      </c>
      <c r="E9" s="40" t="inlineStr">
        <is>
          <t>Collect appreciation emails and thank-you notes to support your KPI reviews and achievements. Practice neat documentation, consistent naming conventions, and professional preparation (Mise en place).</t>
        </is>
      </c>
      <c r="F9" s="41" t="inlineStr">
        <is>
          <t>收集來自同事或客戶的感謝信，作為 KPI 考評與成就證明的佐證。落實文件化管理、統一命名規範，做好隨時備用的準備工作（Mise en place）。</t>
        </is>
      </c>
      <c r="G9" s="42" t="inlineStr">
        <is>
          <t>別人寄予你的感謝批愛收留好勢，當做拍考績（KPI）佮實績的鐵證。檔案照命名規矩存好，手尾備齊（Mise en place），欲用的時陣隨時揣會著。</t>
        </is>
      </c>
      <c r="H9" s="43" t="inlineStr"/>
      <c r="I9" s="39" t="inlineStr"/>
      <c r="J9" s="44" t="inlineStr"/>
      <c r="K9" s="45" t="inlineStr"/>
    </row>
    <row r="10" ht="24" customHeight="1">
      <c r="A10" s="26" t="inlineStr">
        <is>
          <t>Slide 1</t>
        </is>
      </c>
      <c r="B10" s="27" t="inlineStr">
        <is>
          <t>No. 9</t>
        </is>
      </c>
      <c r="C10" s="28" t="inlineStr">
        <is>
          <t>原則 13</t>
        </is>
      </c>
      <c r="D10" s="29" t="inlineStr">
        <is>
          <t>Don't be jealous of your colleagues and don't treat them as your best friends, especially when personal interests conflict. Don’t add them in your social media APP, only in Linkedin. To set privacy for friends only. Don’t make joke who you may not know you well. To learn from your colleagues, no matter how old is he or she. Don’t do political judge.</t>
        </is>
      </c>
      <c r="E10" s="30" t="inlineStr">
        <is>
          <t>Avoid being jealous of colleagues and do not treat them as best friends, especially since personal interests may conflict. Connect only via LinkedIn rather than private social media (which should have privacy settings set to friends only). Avoid joking with people you do not know well. Always learn from your colleagues, regardless of age, and remain politically neutral.</t>
        </is>
      </c>
      <c r="F10" s="31" t="inlineStr">
        <is>
          <t>不要嫉妒同事，也別把同事當成最好的朋友（特別是當利益衝突時）。避免在私人的社群媒體加同事，僅用 LinkedIn 聯絡並確保私人社群的隱私設定。不要對不熟的人開玩笑。不論年資深淺，都要抱持學習態度，且避免進行辦公室政治評判。</t>
        </is>
      </c>
      <c r="G10" s="32" t="inlineStr">
        <is>
          <t>莫怨妒同仁，嘛莫共同仁當做換帖的知己（牽涉著個人利益的時陣特別愛斟酌）。私底下的社群軟體莫加同仁，頂多用 LinkedIn 聯絡，私人社群權限設做朋友限定。無熟似的人莫含伊講笑詼。無論對方年歲大細攏有長處好學，千萬莫批評政治抑是插手公司派系。</t>
        </is>
      </c>
      <c r="H10" s="33" t="inlineStr"/>
      <c r="I10" s="29" t="inlineStr"/>
      <c r="J10" s="34" t="inlineStr"/>
      <c r="K10" s="35" t="inlineStr"/>
    </row>
    <row r="11" ht="24" customHeight="1">
      <c r="A11" s="36" t="inlineStr">
        <is>
          <t>Slide 1</t>
        </is>
      </c>
      <c r="B11" s="37" t="inlineStr">
        <is>
          <t>No. 10</t>
        </is>
      </c>
      <c r="C11" s="38" t="inlineStr">
        <is>
          <t>原則 12</t>
        </is>
      </c>
      <c r="D11" s="39" t="inlineStr">
        <is>
          <t>Determine what your priorities are now. Distinguish between what you cannot control and what you can control. Item 141. And focus on what you can control and ask for help/support for what you cannot control. Item 141.</t>
        </is>
      </c>
      <c r="E11" s="40" t="inlineStr">
        <is>
          <t>Identify your current priorities. Learn to distinguish between what you can control and what you cannot. Focus your energy on things under your control, and proactively seek support for things you cannot control. (Related to Item 141)</t>
        </is>
      </c>
      <c r="F11" s="41" t="inlineStr">
        <is>
          <t>明確當下的首要任務。區分「可控」與「不可控」的事物。將精力集中於可控的事，對於不可控的事物則應適時尋求外部支援與協助。</t>
        </is>
      </c>
      <c r="G11" s="42" t="inlineStr">
        <is>
          <t>先分清這馬上要緊的代誌。分清楚啥物是家己控制會著的、啥物是控制袂著的。精神氣力攏集中佇控制會著的代誌，控制袂著的就主動開喙請人鬥相共。（參照第 141 項）</t>
        </is>
      </c>
      <c r="H11" s="43" t="inlineStr"/>
      <c r="I11" s="39" t="inlineStr"/>
      <c r="J11" s="44" t="inlineStr"/>
      <c r="K11" s="45" t="inlineStr"/>
    </row>
    <row r="12" ht="24" customHeight="1">
      <c r="A12" s="26" t="inlineStr">
        <is>
          <t>Slide 1</t>
        </is>
      </c>
      <c r="B12" s="27" t="inlineStr">
        <is>
          <t>No. 11</t>
        </is>
      </c>
      <c r="C12" s="28" t="inlineStr">
        <is>
          <t>原則 9</t>
        </is>
      </c>
      <c r="D12" s="29" t="inlineStr">
        <is>
          <t>Check your spelling before sending the email. Using Google translate or Grammarly or using mandarin directly for urgent cases to avoid confusion and misunderstanding. There is a website to check grammar.</t>
        </is>
      </c>
      <c r="E12" s="30" t="inlineStr">
        <is>
          <t>Check your spelling and grammar (using tools like Google Translate or Grammarly) before sending emails. For urgent cases, writing in Mandarin directly is better than sending confusing English emails.</t>
        </is>
      </c>
      <c r="F12" s="31" t="inlineStr">
        <is>
          <t>發信前務必檢查拼字與文法（可善用 Grammarly 等工具）。若是十萬火急的情況，直接寫中文也比發一封文法混亂、容易引起誤會的英文信來得妥當。</t>
        </is>
      </c>
      <c r="G12" s="32" t="inlineStr">
        <is>
          <t>寄信進前先巡看覓字敢有寫對、文法敢有順（會使借 Google 翻譯抑是 Grammarly 鬥相共檢查）。若拄著十萬火急的代誌，直接寫中文，嘛贏過寄一封文理不通、予人誤會的英文信。</t>
        </is>
      </c>
      <c r="H12" s="33" t="inlineStr"/>
      <c r="I12" s="29" t="inlineStr"/>
      <c r="J12" s="34" t="inlineStr"/>
      <c r="K12" s="35" t="inlineStr"/>
    </row>
    <row r="13" ht="24" customHeight="1">
      <c r="A13" s="36" t="inlineStr">
        <is>
          <t>Slide 1</t>
        </is>
      </c>
      <c r="B13" s="37" t="inlineStr">
        <is>
          <t>No. 12</t>
        </is>
      </c>
      <c r="C13" s="38" t="inlineStr">
        <is>
          <t>原則 15, 原則 16</t>
        </is>
      </c>
      <c r="D13" s="39" t="inlineStr">
        <is>
          <t>Make sure you learn something during the project and document it. These skills/things will boost you or feedback or whatever adds value from long-term view.</t>
        </is>
      </c>
      <c r="E13" s="40" t="inlineStr">
        <is>
          <t>Ensure you learn something from every project and document the knowledge. These accumulated skills and feedback will boost your career and add significant long-term value.</t>
        </is>
      </c>
      <c r="F13" s="41" t="inlineStr">
        <is>
          <t>確保自己能從每個專案中學到東西並記錄下來。這些累積的技能與反饋從長期來看，會成為提升自我價值的推進器。</t>
        </is>
      </c>
      <c r="G13" s="42" t="inlineStr">
        <is>
          <t>確保逐个專案攏有學著新眉角，閣愛筆記落來。這寡累積的工夫佮回饋，就長遠來看，攏是替家己添身價的好本底。</t>
        </is>
      </c>
      <c r="H13" s="43" t="inlineStr"/>
      <c r="I13" s="39" t="inlineStr"/>
      <c r="J13" s="44" t="inlineStr"/>
      <c r="K13" s="45" t="inlineStr"/>
    </row>
    <row r="14" ht="24" customHeight="1">
      <c r="A14" s="26" t="inlineStr">
        <is>
          <t>Slide 1</t>
        </is>
      </c>
      <c r="B14" s="27" t="inlineStr">
        <is>
          <t>No. 13</t>
        </is>
      </c>
      <c r="C14" s="28" t="inlineStr">
        <is>
          <t>原則 9</t>
        </is>
      </c>
      <c r="D14" s="29" t="inlineStr">
        <is>
          <t>Don't add your colleagues on social media unless LINKEDIN. Item 9. And not put many emotion in your post / email. Using a smile face.</t>
        </is>
      </c>
      <c r="E14" s="30" t="inlineStr">
        <is>
          <t>Do not add colleagues to your personal social media, limit connections to LinkedIn. Keep emotions out of your posts and professional emails; use standard emojis like smileys to keep the tone light and friendly. (Related to Item 9)</t>
        </is>
      </c>
      <c r="F14" s="31" t="inlineStr">
        <is>
          <t>除了 LinkedIn 外，不要加同事的私人社群媒體。撰寫貼文或信件時避免帶入過多情緒，適當使用笑臉符號保持語氣友善。</t>
        </is>
      </c>
      <c r="G14" s="32" t="inlineStr">
        <is>
          <t>除開 LinkedIn 以外，莫加同仁私底下的社群。貼文抑是寄信莫帶傷濟個人情緒，適當用笑面符號保持和氣。（參照第 9 項）</t>
        </is>
      </c>
      <c r="H14" s="33" t="inlineStr"/>
      <c r="I14" s="29" t="inlineStr"/>
      <c r="J14" s="34" t="inlineStr"/>
      <c r="K14" s="35" t="inlineStr"/>
    </row>
    <row r="15" ht="24" customHeight="1">
      <c r="A15" s="36" t="inlineStr">
        <is>
          <t>Slide 1</t>
        </is>
      </c>
      <c r="B15" s="37" t="inlineStr">
        <is>
          <t>No. 14</t>
        </is>
      </c>
      <c r="C15" s="38" t="inlineStr">
        <is>
          <t>原則 18, 原則 19</t>
        </is>
      </c>
      <c r="D15" s="39" t="inlineStr">
        <is>
          <t>Focus. Follow a course until you succeed. Stay the course. Don’t’ quit till reach the goal. Take a rest, don't quit</t>
        </is>
      </c>
      <c r="E15" s="40" t="inlineStr">
        <is>
          <t>Maintain your focus and stay the course until you succeed. Do not give up before reaching your goal. Take a rest if you are tired, but never quit.</t>
        </is>
      </c>
      <c r="F15" s="41" t="inlineStr">
        <is>
          <t>保持專注。堅持到底直到成功，在達到目標前絕不輕言放棄。累了可以休息，但不要放棄。</t>
        </is>
      </c>
      <c r="G15" s="42" t="inlineStr">
        <is>
          <t>心頭顧定、專注咧行。堅持到底直到收成，未到目標絕莫認輸。忝矣會使停跤歇睏，毋過千萬莫放棄。</t>
        </is>
      </c>
      <c r="H15" s="43" t="inlineStr"/>
      <c r="I15" s="39" t="inlineStr"/>
      <c r="J15" s="44" t="inlineStr"/>
      <c r="K15" s="45" t="inlineStr"/>
    </row>
    <row r="16" ht="24" customHeight="1">
      <c r="A16" s="26" t="inlineStr">
        <is>
          <t>Slide 1</t>
        </is>
      </c>
      <c r="B16" s="27" t="inlineStr">
        <is>
          <t>No. 15</t>
        </is>
      </c>
      <c r="C16" s="28" t="inlineStr">
        <is>
          <t>原則 7</t>
        </is>
      </c>
      <c r="D16" s="29" t="inlineStr">
        <is>
          <t>What easier things can you do right now ( or in 10s) for your dreams / job/project? (MVP : minimum viable product) and using “divide and conquer” mindset. Make a short statement for next time, using a simple keywords or statement, talk directly. 16 keywords.</t>
        </is>
      </c>
      <c r="E16" s="30" t="inlineStr">
        <is>
          <t>Ask yourself: What is the simplest action I can take right now (even in 10 seconds) to advance my project or goal? Apply a "minimum viable product" (MVP) and "divide and conquer" mindset. Keep your communications brief, direct, and focused on key points.</t>
        </is>
      </c>
      <c r="F16" s="31" t="inlineStr">
        <is>
          <t>問自己：現在（甚至在10秒內）能做些什麼最簡單的事來推進夢想或專案？（MVP 最小可行產品思維與分而治之法）。下次溝通時，嘗試用最簡單的關鍵字或短語直接切入主題。</t>
        </is>
      </c>
      <c r="G16" s="32" t="inlineStr">
        <is>
          <t>問家己：這馬（甚至十秒內）有啥物上簡單的代誌會得先動工？（用 MVP 最小成果試水深、大項化細項）。講話莫拖沙，提關鍵字直接切入核心。</t>
        </is>
      </c>
      <c r="H16" s="33" t="inlineStr"/>
      <c r="I16" s="29" t="inlineStr"/>
      <c r="J16" s="34" t="inlineStr"/>
      <c r="K16" s="35" t="inlineStr"/>
    </row>
    <row r="17" ht="24" customHeight="1">
      <c r="A17" s="36" t="inlineStr">
        <is>
          <t>Slide 1</t>
        </is>
      </c>
      <c r="B17" s="37" t="inlineStr">
        <is>
          <t>No. 16</t>
        </is>
      </c>
      <c r="C17" s="38" t="inlineStr">
        <is>
          <t>原則 2</t>
        </is>
      </c>
      <c r="D17" s="39" t="inlineStr">
        <is>
          <t>Don’t over-reply to email discussions. To organize the content for routine. Review it within certain period.六時書</t>
        </is>
      </c>
      <c r="E17" s="40" t="inlineStr">
        <is>
          <t>Avoid over-replying in email threads. Streamline routine communication and set a specific time to review them periodically (similar to the "Six Times a Day" mindfulness practice).</t>
        </is>
      </c>
      <c r="F17" s="41" t="inlineStr">
        <is>
          <t>避免在郵件討論中過度回覆。將例行任務與資訊整理模組化，並設定固定時間週期性地檢視與回覆（借鑒六時書的自我覺察習慣）。</t>
        </is>
      </c>
      <c r="G17" s="42" t="inlineStr">
        <is>
          <t>信件討論莫逐句冤家回甲無結無煞。例行公事模組化，固定時間巡一擺回覆就好（學六時書定心檢驗）。</t>
        </is>
      </c>
      <c r="H17" s="43" t="inlineStr"/>
      <c r="I17" s="39" t="inlineStr"/>
      <c r="J17" s="44" t="inlineStr"/>
      <c r="K17" s="45" t="inlineStr"/>
    </row>
    <row r="18" ht="24" customHeight="1">
      <c r="A18" s="26" t="inlineStr">
        <is>
          <t>Slide 1</t>
        </is>
      </c>
      <c r="B18" s="27" t="inlineStr">
        <is>
          <t>No. 17-1</t>
        </is>
      </c>
      <c r="C18" s="28" t="inlineStr">
        <is>
          <t>原則 10</t>
        </is>
      </c>
      <c r="D18" s="29" t="inlineStr">
        <is>
          <t>Do not interrupt others when his speech is not finished.優雅的 elegant.</t>
        </is>
      </c>
      <c r="E18" s="30" t="inlineStr">
        <is>
          <t>Do not interrupt others while they are speaking. Maintain elegance and professional etiquette.</t>
        </is>
      </c>
      <c r="F18" s="31" t="inlineStr">
        <is>
          <t>在他人發言結束前切勿插話。保持優雅與職場基本禮儀。</t>
        </is>
      </c>
      <c r="G18" s="32" t="inlineStr">
        <is>
          <t>別人話未講煞進前千萬莫插喙。保持大器風度佮職場規矩。</t>
        </is>
      </c>
      <c r="H18" s="33" t="inlineStr"/>
      <c r="I18" s="29" t="inlineStr"/>
      <c r="J18" s="34" t="inlineStr"/>
      <c r="K18" s="35" t="inlineStr"/>
    </row>
    <row r="19" ht="24" customHeight="1">
      <c r="A19" s="36" t="inlineStr">
        <is>
          <t>Slide 1</t>
        </is>
      </c>
      <c r="B19" s="37" t="inlineStr">
        <is>
          <t>No. 17-2</t>
        </is>
      </c>
      <c r="C19" s="38" t="inlineStr">
        <is>
          <t>原則 10</t>
        </is>
      </c>
      <c r="D19" s="39" t="inlineStr">
        <is>
          <t>Learn some remote work skills, potential issues, and how to present. Ex, sharing ppt and show your face during presentation. Increase your mobility. Be well-groomed appearance in a video call. Checking your talking speed. ( not to rush.) speak out</t>
        </is>
      </c>
      <c r="E19" s="40" t="inlineStr">
        <is>
          <t>Master remote work skills, anticipate technical issues, and improve your presentation style (e.g., sharing slides while showing your camera to build trust). Maintain mobility, present a well-groomed appearance on camera, and control your speaking speed to communicate clearly without rushing.</t>
        </is>
      </c>
      <c r="F19" s="41" t="inlineStr">
        <is>
          <t>掌握遠距工作技巧、理解潛在問題並優化簡報模式（例如：分享 PPT 時同時開啟攝像頭以增加信任度）。提升行動力，視訊會議時儀容整潔，並控制說話速度，不急不徐地表達。</t>
        </is>
      </c>
      <c r="G19" s="42" t="inlineStr">
        <is>
          <t>練好遠距做工的本領、提防可能的技術問題，報告簡報時分享畫面兼開鏡頭，予人看現現較安心。提升機動性，開視訊時服裝面容整理予齊整，講話語速控制好、毋通傷趕，大方講出喙。</t>
        </is>
      </c>
      <c r="H19" s="43" t="inlineStr"/>
      <c r="I19" s="39" t="inlineStr"/>
      <c r="J19" s="44" t="inlineStr"/>
      <c r="K19" s="45" t="inlineStr"/>
    </row>
    <row r="20" ht="24" customHeight="1">
      <c r="A20" s="26" t="inlineStr">
        <is>
          <t>Slide 1</t>
        </is>
      </c>
      <c r="B20" s="27" t="inlineStr">
        <is>
          <t>No. 18-1</t>
        </is>
      </c>
      <c r="C20" s="28" t="inlineStr">
        <is>
          <t>原則 2</t>
        </is>
      </c>
      <c r="D20" s="29" t="inlineStr">
        <is>
          <t>Set up a routine in your calendar (your own standup meeting) to review your project / life routine, to save brain energy. ( to add items if any) ( modify flow if any.) Ritual of daily. Expert mindset.</t>
        </is>
      </c>
      <c r="E20" s="30" t="inlineStr">
        <is>
          <t>Schedule a regular slot in your calendar (your personal "daily standup") to review your projects and life routine. Establishing this daily ritual saves decision-making energy and builds an expert mindset.</t>
        </is>
      </c>
      <c r="F20" s="31" t="inlineStr">
        <is>
          <t>在行事曆上設定固定行程（給自己的每日站會），審視工作專案與生活常規。透過每日儀式感節省大腦的決策能量，建立專家思維。</t>
        </is>
      </c>
      <c r="G20" s="32" t="inlineStr">
        <is>
          <t>行事曆排定逐日固定巡視的時間（開家己的個人例會），盤點專案進度佮生活步調（隨時添項目、改流程）。透過每日的儀式感省大腦氣力，養出專家思維。</t>
        </is>
      </c>
      <c r="H20" s="33" t="inlineStr"/>
      <c r="I20" s="29" t="inlineStr"/>
      <c r="J20" s="34" t="inlineStr"/>
      <c r="K20" s="35" t="inlineStr"/>
    </row>
    <row r="21" ht="24" customHeight="1">
      <c r="A21" s="36" t="inlineStr">
        <is>
          <t>Slide 1</t>
        </is>
      </c>
      <c r="B21" s="37" t="inlineStr">
        <is>
          <t>No. 18-2</t>
        </is>
      </c>
      <c r="C21" s="38" t="inlineStr">
        <is>
          <t>原則 2</t>
        </is>
      </c>
      <c r="D21" s="39" t="inlineStr">
        <is>
          <t>When stating more than 3 or more situations in the email, try to call directly instead of email.</t>
        </is>
      </c>
      <c r="E21" s="40" t="inlineStr">
        <is>
          <t>If an explanation requires discussing three or more complex situations, call the person directly instead of sending back-and-forth emails.</t>
        </is>
      </c>
      <c r="F21" s="41" t="inlineStr">
        <is>
          <t>當需要在信件中說明三種以上的複雜情境或狀況時，直接打電話溝通，而非用郵件來回拉扯。</t>
        </is>
      </c>
      <c r="G21" s="42" t="inlineStr">
        <is>
          <t>代誌若超過三項愛喬，直接敲電話抑是當面講，莫佇電子信寫來寫去冤家。</t>
        </is>
      </c>
      <c r="H21" s="43" t="inlineStr"/>
      <c r="I21" s="39" t="inlineStr"/>
      <c r="J21" s="44" t="inlineStr"/>
      <c r="K21" s="45" t="inlineStr"/>
    </row>
    <row r="22" ht="24" customHeight="1">
      <c r="A22" s="26" t="inlineStr">
        <is>
          <t>Slide 1</t>
        </is>
      </c>
      <c r="B22" s="27" t="inlineStr">
        <is>
          <t>No. 19</t>
        </is>
      </c>
      <c r="C22" s="28" t="inlineStr">
        <is>
          <t>原則 9</t>
        </is>
      </c>
      <c r="D22" s="29" t="inlineStr">
        <is>
          <t>"Say Yes", ”you are correct.” don't use negative words like "but", "however". Using“ what do you think?” “ your opinion?” It is talking about how to fix the problem and move the things further.</t>
        </is>
      </c>
      <c r="E22" s="30" t="inlineStr">
        <is>
          <t>Start with positive alignment like "Yes, I agree" or "You are correct." Avoid leading with defensive words like "but" or "however." Instead, use constructive prompts such as "What do you think?" or "What is your opinion?" to focus on problem-solving and progress.</t>
        </is>
      </c>
      <c r="F22" s="31" t="inlineStr">
        <is>
          <t>溝通時先以正面的「是的」、「你是對的」切入。避免一開口就使用「但是」、「然而」等否定詞。改用「你覺得呢？」或「你的看法是？」來引導，讓對話聚焦於解決問題與推進工作。</t>
        </is>
      </c>
      <c r="G22" s="32" t="inlineStr">
        <is>
          <t>溝通先應「是、你講的有理」，莫一開喙就用「毋過」來反駁人。改問「你按怎看？」、「你的意見呢？」，予對話攏集中佇解決問題、共代誌推向前。</t>
        </is>
      </c>
      <c r="H22" s="33" t="inlineStr"/>
      <c r="I22" s="29" t="inlineStr"/>
      <c r="J22" s="34" t="inlineStr"/>
      <c r="K22" s="35" t="inlineStr"/>
    </row>
    <row r="23" ht="24" customHeight="1">
      <c r="A23" s="36" t="inlineStr">
        <is>
          <t>Slide 1</t>
        </is>
      </c>
      <c r="B23" s="37" t="inlineStr">
        <is>
          <t>No. 20</t>
        </is>
      </c>
      <c r="C23" s="38" t="inlineStr">
        <is>
          <t>原則 1, 原則 20</t>
        </is>
      </c>
      <c r="D23" s="39" t="inlineStr">
        <is>
          <t>Set your status to "Do Not Disturb" in your social media if you want. Ex: Friday afternoon. Or in your scared time. Using atuo email reply. Set Occupied in the calendar. Even in the night time for different site.</t>
        </is>
      </c>
      <c r="E23" s="40" t="inlineStr">
        <is>
          <t>Set your status to "Do Not Disturb" on communication channels when needed (e.g., Friday afternoons or during your sacred time). Use auto-replies, mark your calendar as "Occupied," and set boundaries for night calls from different time zones.</t>
        </is>
      </c>
      <c r="F23" s="41" t="inlineStr">
        <is>
          <t>在需要專注的時間（例如週五下午或個人神聖時間），將社群與通訊軟體狀態設為「請勿打擾」。善用自動回信、在行事曆上將時間標記為「忙碌中」，並為跨時區的夜間會議設定防線。</t>
        </is>
      </c>
      <c r="G23" s="42" t="inlineStr">
        <is>
          <t>愛專注的時陣（親像禮拜五下晡抑是個人神聖時間），通訊狀態設做「請莫相吵」。善用電子信自動回覆，行事曆標做「無閒中」，連跨時區的暗時會議嘛愛劃好界線。</t>
        </is>
      </c>
      <c r="H23" s="43" t="inlineStr"/>
      <c r="I23" s="39" t="inlineStr"/>
      <c r="J23" s="44" t="inlineStr"/>
      <c r="K23" s="45" t="inlineStr"/>
    </row>
    <row r="24" ht="24" customHeight="1">
      <c r="A24" s="26" t="inlineStr">
        <is>
          <t>Slide 1</t>
        </is>
      </c>
      <c r="B24" s="27" t="inlineStr">
        <is>
          <t>No. 21</t>
        </is>
      </c>
      <c r="C24" s="28" t="inlineStr">
        <is>
          <t>原則 13</t>
        </is>
      </c>
      <c r="D24" s="29" t="inlineStr">
        <is>
          <t>Sometimes you need to put your ass heavy. Move slowly. Sometimes do not behave over proactively. Ex, overlook some emails which requests you do unreasonable tasks. If that is not your position to answer, don't reply.</t>
        </is>
      </c>
      <c r="E24" s="30" t="inlineStr">
        <is>
          <t>Sometimes you need to "sit tight" and move slowly. Avoid behaving over-proactively in every situation. For example, ignore emails asking you to perform unreasonable tasks outside your role; if you are not the DRI, do not reply.</t>
        </is>
      </c>
      <c r="F24" s="31" t="inlineStr">
        <is>
          <t>有時候你需要「沉住氣」、以退為進。不要在所有事情上都表現得過度主動。例如：忽略那些要求你做不合理任務的信件；如果這不是你的職責（DRI），就不要急著回覆。</t>
        </is>
      </c>
      <c r="G24" s="32" t="inlineStr">
        <is>
          <t>有時陣尻川愛坐予重，沉心靜氣沓沓仔行，毋免逐項代誌攏衝頭前。拄著無理的要求，抑是毋是家己本分（非 DRI）該回的電子信，看過放過就好，莫應聲。</t>
        </is>
      </c>
      <c r="H24" s="33" t="inlineStr"/>
      <c r="I24" s="29" t="inlineStr"/>
      <c r="J24" s="34" t="inlineStr"/>
      <c r="K24" s="35" t="inlineStr"/>
    </row>
    <row r="25" ht="24" customHeight="1">
      <c r="A25" s="36" t="inlineStr">
        <is>
          <t>Slide 1</t>
        </is>
      </c>
      <c r="B25" s="37" t="inlineStr">
        <is>
          <t>No. 22</t>
        </is>
      </c>
      <c r="C25" s="38" t="inlineStr">
        <is>
          <t>原則 10</t>
        </is>
      </c>
      <c r="D25" s="39" t="inlineStr">
        <is>
          <t>Write down meeting minutes, even no one asks you. For better traceability. You may reuse it next time. Even a simple words.</t>
        </is>
      </c>
      <c r="E25" s="40" t="inlineStr">
        <is>
          <t>Proactively take meeting minutes even when not explicitly requested. Keeping clear trace records ensures accountability and allows you to easily reference key decisions in future discussions.</t>
        </is>
      </c>
      <c r="F25" s="41" t="inlineStr">
        <is>
          <t>即使沒有被要求，也應主動記錄會議摘要或紀錄。這有助於後續追蹤與覆盤，日後亦可作為參考依據，哪怕只是簡短的要點記錄也極具價值。</t>
        </is>
      </c>
      <c r="G25" s="42" t="inlineStr">
        <is>
          <t>就算無人叫你寫，開會嘛愛主動記會議紀錄，連簡單的幾句重點嘛好。有留底才好追蹤查考，下擺討論隨時會當提來用，省氣力閣有憑有據。</t>
        </is>
      </c>
      <c r="H25" s="43" t="inlineStr"/>
      <c r="I25" s="39" t="inlineStr"/>
      <c r="J25" s="44" t="inlineStr"/>
      <c r="K25" s="45" t="inlineStr"/>
    </row>
    <row r="26" ht="24" customHeight="1">
      <c r="A26" s="26" t="inlineStr">
        <is>
          <t>Slide 1</t>
        </is>
      </c>
      <c r="B26" s="27" t="inlineStr">
        <is>
          <t>No. 23</t>
        </is>
      </c>
      <c r="C26" s="28" t="inlineStr">
        <is>
          <t>原則 3</t>
        </is>
      </c>
      <c r="D26" s="29" t="inlineStr">
        <is>
          <t>Try to speed up or automate your work. (10 times speed) Create templates. Re-organize flow. Try to optimize. Good document. Nice voice tone.</t>
        </is>
      </c>
      <c r="E26" s="30" t="inlineStr">
        <is>
          <t>Aim to speed up or automate your tasks by 10x. Create templates, re-organize workflows, and continuously optimize. Maintain high-quality documentation and a professional, friendly voice tone.</t>
        </is>
      </c>
      <c r="F26" s="31" t="inlineStr">
        <is>
          <t>致力於將工作速度提升十倍或自動化。建立範本、重組工作流程並持續優化。同時，保持文件的高水準與溝通時的良好語氣。</t>
        </is>
      </c>
      <c r="G26" s="32" t="inlineStr">
        <is>
          <t>想辦法共工課速度提升十倍抑是自動化。建立範本、重整流程、不斷優化。文件顧予好、講話氣口溫和，手路俐落閣得人疼。</t>
        </is>
      </c>
      <c r="H26" s="33" t="inlineStr"/>
      <c r="I26" s="29" t="inlineStr"/>
      <c r="J26" s="34" t="inlineStr"/>
      <c r="K26" s="35" t="inlineStr"/>
    </row>
    <row r="27" ht="24" customHeight="1">
      <c r="A27" s="36" t="inlineStr">
        <is>
          <t>Slide 1</t>
        </is>
      </c>
      <c r="B27" s="37" t="inlineStr">
        <is>
          <t>No. 24</t>
        </is>
      </c>
      <c r="C27" s="38" t="inlineStr">
        <is>
          <t>原則 1, 原則 20</t>
        </is>
      </c>
      <c r="D27" s="39" t="inlineStr">
        <is>
          <t>Document your work. It will help you a lot in the future. Ex. OneNote, or XMIND to link each index. ( Email is not good documentation. ) Email to OneNote. Create folder. Categorize the email.</t>
        </is>
      </c>
      <c r="E27" s="40" t="inlineStr">
        <is>
          <t>Document your work systematically; it will pay off in the future. Use tools like OneNote or XMind to link indices. (Note that email is a poor medium for documentation.) Move critical emails to OneNote, create structured folders, and categorize them.</t>
        </is>
      </c>
      <c r="F27" s="41" t="inlineStr">
        <is>
          <t>有系統地為工作做文件記錄，這在未來會大有幫助。使用 OneNote 或 XMind 等工具連結知識索引（電子郵件並非合適的存檔載體）。將重要郵件導出至 OneNote，建立資料夾並做好分類。</t>
        </is>
      </c>
      <c r="G27" s="42" t="inlineStr">
        <is>
          <t>工課愛做系統筆記，日後對家己大有幫贊。用 OneNote 抑是 XMind 共索引結網串連（電子信毋是存檔的好所在）。要緊的信轉入 OneNote，開資料夾分門別類收好勢。</t>
        </is>
      </c>
      <c r="H27" s="43" t="inlineStr"/>
      <c r="I27" s="39" t="inlineStr"/>
      <c r="J27" s="44" t="inlineStr"/>
      <c r="K27" s="45" t="inlineStr"/>
    </row>
    <row r="28" ht="24" customHeight="1">
      <c r="A28" s="26" t="inlineStr">
        <is>
          <t>Slide 1</t>
        </is>
      </c>
      <c r="B28" s="27" t="inlineStr">
        <is>
          <t>No. 25</t>
        </is>
      </c>
      <c r="C28" s="28" t="inlineStr">
        <is>
          <t>原則 2</t>
        </is>
      </c>
      <c r="D28" s="29" t="inlineStr">
        <is>
          <t>Try to ignore some emails with inappropriate \ emotional words or statements. Learning how to deal with it and react (vs response). It is a great opportunity to make your mind stronger. Mental resilience. Simply ignore it.</t>
        </is>
      </c>
      <c r="E28" s="30" t="inlineStr">
        <is>
          <t>Ignore emails containing inappropriate or emotional language. Learn the difference between reacting immediately and giving a measured response. Treat these situations as opportunities to build mental resilience. Sometimes, simply ignoring it is best.</t>
        </is>
      </c>
      <c r="F28" s="31" t="inlineStr">
        <is>
          <t>學會忽略帶有不當情緒性字眼的電子郵件。修煉「刻意回應」而非「本能反應」的克制力。把這當作鍛鍊強大內心與心理韌性的好機會。有時，單純不予理會就是最好的回擊。</t>
        </is>
      </c>
      <c r="G28" s="32" t="inlineStr">
        <is>
          <t>拄著帶刺抑是情緒字眼的電子信，當做耳邊風放予過。修煉「冷靜回應」毋是「本能衝動」的定力，共這當做鍛鍊強大心肝佮心理韌性的好機會。直接莫理伊，就是上好的對策。</t>
        </is>
      </c>
      <c r="H28" s="33" t="inlineStr"/>
      <c r="I28" s="29" t="inlineStr"/>
      <c r="J28" s="34" t="inlineStr"/>
      <c r="K28" s="35" t="inlineStr"/>
    </row>
    <row r="29" ht="24" customHeight="1">
      <c r="A29" s="36" t="inlineStr">
        <is>
          <t>Slide 1</t>
        </is>
      </c>
      <c r="B29" s="37" t="inlineStr">
        <is>
          <t>No. 26</t>
        </is>
      </c>
      <c r="C29" s="38" t="inlineStr">
        <is>
          <t>原則 2</t>
        </is>
      </c>
      <c r="D29" s="39" t="inlineStr">
        <is>
          <t>Only check emails which mention your name or be requested to reply. ( ask others to have a clear request, even from managers.) categorize project, trash, archive, to be done.</t>
        </is>
      </c>
      <c r="E29" s="40" t="inlineStr">
        <is>
          <t>Only check emails where you are directly mentioned or asked to reply (encourage others, including managers, to state clear requests). Categorize your inbox into projects, action items, archives, and trash.</t>
        </is>
      </c>
      <c r="F29" s="41" t="inlineStr">
        <is>
          <t>只把精力花在有指名你或明確要求你回覆的郵件上（引導他人，包括主管，在來信時說明明確的請求）。將信件分類為：專案項目、待辦事項、歸檔與垃圾郵件。</t>
        </is>
      </c>
      <c r="G29" s="42" t="inlineStr">
        <is>
          <t>只看有點名著家己、抑是明確叫你回的信（引導同仁連同主管來信講清楚需求）。信件分門別類：專案項目、待辦事項、歸檔收存佮糞埽信。</t>
        </is>
      </c>
      <c r="H29" s="43" t="inlineStr"/>
      <c r="I29" s="39" t="inlineStr"/>
      <c r="J29" s="44" t="inlineStr"/>
      <c r="K29" s="45" t="inlineStr"/>
    </row>
    <row r="30" ht="24" customHeight="1">
      <c r="A30" s="26" t="inlineStr">
        <is>
          <t>Slide 1</t>
        </is>
      </c>
      <c r="B30" s="27" t="inlineStr">
        <is>
          <t>No. 27</t>
        </is>
      </c>
      <c r="C30" s="28" t="inlineStr">
        <is>
          <t>原則 3, 原則 16</t>
        </is>
      </c>
      <c r="D30" s="29" t="inlineStr">
        <is>
          <t>Try to level up your skill. See item12. Or make it faster. 10 times quick and deeper and documentation. Automation, lean, scrum mindset. Faster and focus on key items. (知熟精通, teach others) Expert mindset / one company mindset. It may take your whole life</t>
        </is>
      </c>
      <c r="E30" s="30" t="inlineStr">
        <is>
          <t>Constantly level up your skills to make work 10x faster and deeper. Document your knowledge, apply automation, lean, and agile scrum mindsets. Focus on core values, master your craft (know, master, specialize, teach), and adopt an expert or "company of one" mindset. (This is a lifelong journey)</t>
        </is>
      </c>
      <c r="F30" s="31" t="inlineStr">
        <is>
          <t>持續提升核心技能，追求十倍速的效率與更深的專業度。建立知識文件，導入自動化、精益（Lean）與敏捷（Scrum）思維。專注核心，做到「知、熟、精、通」並樂於指引他人。把自己當作「一人公司」來經營，這是一輩子的修煉。</t>
        </is>
      </c>
      <c r="G30" s="32" t="inlineStr">
        <is>
          <t>不斷升級家己的真工夫，追求十倍速閣摸予深，做好筆記留底（參照第 12 項）。導入自動化、精實（Lean）佮敏捷（Scrum）思維，專注核心做到「知、熟、精、通」閣肯教示別人。用專家思維共家己當做「一人公司」經營，這是一世人的修煉。</t>
        </is>
      </c>
      <c r="H30" s="33" t="inlineStr"/>
      <c r="I30" s="29" t="inlineStr"/>
      <c r="J30" s="34" t="inlineStr"/>
      <c r="K30" s="35" t="inlineStr"/>
    </row>
    <row r="31" ht="24" customHeight="1">
      <c r="A31" s="36" t="inlineStr">
        <is>
          <t>Slide 1</t>
        </is>
      </c>
      <c r="B31" s="37" t="inlineStr">
        <is>
          <t>No. 28</t>
        </is>
      </c>
      <c r="C31" s="38" t="inlineStr">
        <is>
          <t>原則 3</t>
        </is>
      </c>
      <c r="D31" s="39" t="inlineStr">
        <is>
          <t>Try creating some templates (PowerBI). This will save you time, learn from other product. You will be more competitive than others. Automation, auto-pilot project. Good to have a competitive mindset to survive. Win-win mindset? ( without knowing concept / theory, you cannot create.) Don’t be shy. Kiann-kiann boe tiohteng, kann—e ngeh khi phoe.</t>
        </is>
      </c>
      <c r="E31" s="40" t="inlineStr">
        <is>
          <t>Develop standardized templates and automated solutions (such as Power BI dashboards) by learning from successful products. Building scalable, automated processes builds a distinct competitive edge. Be bold and proactive—as the proverb goes, fortune favors the brave.</t>
        </is>
      </c>
      <c r="F31" s="41" t="inlineStr">
        <is>
          <t>善用標竿案例開發標準化範本與自動化流程（例如 Power BI 儀表板），這能顯著提升工作效率並建立個人競爭優勢。保持積極進取的勝任心態，勇於嘗試與創新：「驚驚袂著頂，敢的挾去配」。</t>
        </is>
      </c>
      <c r="G31" s="42" t="inlineStr">
        <is>
          <t>參考別人的好產品來建立標準範本（親像 Power BI）佮自動駕駛流程，省時間閣比人較有競爭力。愛摸透底層理論才變得出新把戲；向人討教莫歹勢，俗語講：「驚驚袂著頂，敢的挾去配」，敢試敢拚才企得佇。</t>
        </is>
      </c>
      <c r="H31" s="43" t="inlineStr"/>
      <c r="I31" s="39" t="inlineStr"/>
      <c r="J31" s="44" t="inlineStr"/>
      <c r="K31" s="45" t="inlineStr"/>
    </row>
    <row r="32" ht="24" customHeight="1">
      <c r="A32" s="26" t="inlineStr">
        <is>
          <t>Slide 1</t>
        </is>
      </c>
      <c r="B32" s="27" t="inlineStr">
        <is>
          <t>No. 29</t>
        </is>
      </c>
      <c r="C32" s="28" t="inlineStr">
        <is>
          <t>原則 18</t>
        </is>
      </c>
      <c r="D32" s="29" t="inlineStr">
        <is>
          <t>Remember that failure always happens. Item 23. Try to fix by Fast fail. And they will pass. Failure is the Nutrient of Success. Do risk assessment for black swan. No mistake, you never learn. ( not stick with pursuit perfect.) Don’t be afraid of failure. Mental resilience. Old VUCA, new VUCA.易變性（volatility）、不確定性（uncertainty）、複雜性（complexity）、模糊性（ambiguity）; VUCA2.0： vision願景、understanding溝通了解、courage勇氣、adaptability適應 ,預前驗屍</t>
        </is>
      </c>
      <c r="E32" s="30" t="inlineStr">
        <is>
          <t>Remember that failure is inevitable. Aim to "fail fast" and fix issues quickly; they will eventually pass. Failure is the nutrient of success. Conduct risk assessments for black swan events. If you never make mistakes, you will never learn; avoid the trap of crippling perfectionism. Embrace mental resilience and navigate the VUCA world (VUCA 2.0: Vision, Understanding, Courage, Adaptability) using pre-mortem analysis.</t>
        </is>
      </c>
      <c r="F32" s="31" t="inlineStr">
        <is>
          <t>記住，失敗終會發生。透過「快速失敗」來快速修正，問題終會過去。失敗是成功的養分。針對黑天鵝事件做好風險評估。不犯錯就學不到東西，不要被完美主義綁架。培養心理韌性，用預前驗屍（Pre-mortem）做好壓力測試，來適應 VUCA 2.0 時代（願景、溝通、勇氣與適應力）。</t>
        </is>
      </c>
      <c r="G32" s="32" t="inlineStr">
        <is>
          <t>記持失敗本是常態（參照第 23 項）。靠「緊試、早失敗、緊修正」，風波總會過去。失敗是成功的養分，無犯錯就學袂曉，莫予完美主義綁死。用「預前驗屍」評估烏天鵝風險，養出心理韌性，以 VUCA 2.0（願景、了解、勇氣、適應力）應萬變。</t>
        </is>
      </c>
      <c r="H32" s="33" t="inlineStr"/>
      <c r="I32" s="29" t="inlineStr"/>
      <c r="J32" s="34" t="inlineStr"/>
      <c r="K32" s="35" t="inlineStr"/>
    </row>
    <row r="33" ht="24" customHeight="1">
      <c r="A33" s="36" t="inlineStr">
        <is>
          <t>Slide 1</t>
        </is>
      </c>
      <c r="B33" s="37" t="inlineStr">
        <is>
          <t>No. 30</t>
        </is>
      </c>
      <c r="C33" s="38" t="inlineStr">
        <is>
          <t>原則 2, 原則 10</t>
        </is>
      </c>
      <c r="D33" s="39" t="inlineStr">
        <is>
          <t>Prepare questions in advance. Leave some buffer for meetings or presentations. Don't forget list down some questions and ask during the call. Item 7. Item 3.</t>
        </is>
      </c>
      <c r="E33" s="40" t="inlineStr">
        <is>
          <t>Prepare questions in advance. Leave buffer time in your schedule before meetings or presentations. Don't forget to write down a question list and actively ask them during calls. (Related to Items 3 and 7)</t>
        </is>
      </c>
      <c r="F33" s="41" t="inlineStr">
        <is>
          <t>提前準備好問題。為會議或簡報之間預留緩衝時間。務必寫下問題清單，並在通話或開會時主動發問。</t>
        </is>
      </c>
      <c r="G33" s="42" t="inlineStr">
        <is>
          <t>開會進前先備好問題，會議抑是簡報中間留一寡緩衝時間。問題清單列予齊，開會時主動開喙發問。（參照第 3 佮 7 項）</t>
        </is>
      </c>
      <c r="H33" s="43" t="inlineStr"/>
      <c r="I33" s="39" t="inlineStr"/>
      <c r="J33" s="44" t="inlineStr"/>
      <c r="K33" s="45" t="inlineStr"/>
    </row>
    <row r="34" ht="24" customHeight="1">
      <c r="A34" s="26" t="inlineStr">
        <is>
          <t>Slide 1</t>
        </is>
      </c>
      <c r="B34" s="27" t="inlineStr">
        <is>
          <t>No. 31</t>
        </is>
      </c>
      <c r="C34" s="28" t="inlineStr">
        <is>
          <t>原則 3, 原則 16</t>
        </is>
      </c>
      <c r="D34" s="29" t="inlineStr">
        <is>
          <t>Schedule your resources / energy (Gantt chart). Don't put a lot of things in one timeslot, including your leave and balance them. Energy of mind is limited. Find a balance point between family and work ( it may be a bullshit). What is key skill / competency to learn for future, actions to take. ( any risk?) Thinking in bet.</t>
        </is>
      </c>
      <c r="E34" s="30" t="inlineStr">
        <is>
          <t>Manage your resources and energy systematically (like a Gantt chart). Avoid double-booking tasks and balance work with leaves. Mental energy is finite. Work-life balance is a dynamic trade-off; identify future key skills, take action, manage risks, and think probabilistically ("thinking in bets").</t>
        </is>
      </c>
      <c r="F34" s="31" t="inlineStr">
        <is>
          <t>像甘特圖一樣規劃你的時間與能量。不要把多項行程塞在同一個時段，合理調配休假與工作。心智能力是有限的。工作與生活的平衡是動態調配的過程；思考未來需要學習的核心技能，擬定行動並控制風險，保持「以小博大、合理下注」的思維。</t>
        </is>
      </c>
      <c r="G34" s="32" t="inlineStr">
        <is>
          <t>親像畫甘特圖仝款，排好時間資源佮精神氣力。仝一个時段莫塞滿滿，休假、家庭佮頭路愛動態調配，因為人的心神有限。盤算未來愛學啥物核心真工夫、落實行動兼顧風險，凡事用「理性跋注（Thinking in bets）」的眼光來算盤。</t>
        </is>
      </c>
      <c r="H34" s="33" t="inlineStr"/>
      <c r="I34" s="29" t="inlineStr"/>
      <c r="J34" s="34" t="inlineStr"/>
      <c r="K34" s="35" t="inlineStr"/>
    </row>
    <row r="35" ht="24" customHeight="1">
      <c r="A35" s="36" t="inlineStr">
        <is>
          <t>Slide 1</t>
        </is>
      </c>
      <c r="B35" s="37" t="inlineStr">
        <is>
          <t>No. 32</t>
        </is>
      </c>
      <c r="C35" s="38" t="inlineStr">
        <is>
          <t>原則 3</t>
        </is>
      </c>
      <c r="D35" s="39" t="inlineStr">
        <is>
          <t>Use a timer to measure the time you spend on each task. Estimate the effort.</t>
        </is>
      </c>
      <c r="E35" s="40" t="inlineStr">
        <is>
          <t>Use a timer to track the time spent on each task to improve your future effort estimations.</t>
        </is>
      </c>
      <c r="F35" s="41" t="inlineStr">
        <is>
          <t>使用計時器記錄各項任務的實際耗時，這能幫助你未來更精準地估算工作量（Effort estimation）。</t>
        </is>
      </c>
      <c r="G35" s="42" t="inlineStr">
        <is>
          <t>提計時器量逐項工課做偌久，記錄清楚，日後算工時盤算力氣才準確。</t>
        </is>
      </c>
      <c r="H35" s="43" t="inlineStr"/>
      <c r="I35" s="39" t="inlineStr"/>
      <c r="J35" s="44" t="inlineStr"/>
      <c r="K35" s="45" t="inlineStr"/>
    </row>
    <row r="36" ht="24" customHeight="1">
      <c r="A36" s="26" t="inlineStr">
        <is>
          <t>Slide 1</t>
        </is>
      </c>
      <c r="B36" s="27" t="inlineStr">
        <is>
          <t>No. 33</t>
        </is>
      </c>
      <c r="C36" s="28" t="inlineStr">
        <is>
          <t>原則 10</t>
        </is>
      </c>
      <c r="D36" s="29" t="inlineStr">
        <is>
          <t>Always have a good relationship with your assistants, bosses and colleagues no matter foreign or native or other departments. ( supply chain, WPE, MPE, assembly- PA/CS, process Eng, quality and reliability…etc.) soft tone.</t>
        </is>
      </c>
      <c r="E36" s="30" t="inlineStr">
        <is>
          <t>Always maintain positive relations with assistants, managers, and peers, whether local, foreign, or from other departments (e.g., Supply Chain, WPE, MPE, Assembly, Process Engineering, Quality, and Reliability). Always use a soft and professional tone.</t>
        </is>
      </c>
      <c r="F36" s="31" t="inlineStr">
        <is>
          <t>不論是本地或外籍同事，還是行政助理、直屬主管及跨部門窗口（如 Supply Chain、WPE、MPE、Assembly、Process Eng、Quality 等），都要維持良好的人際關係。說話語氣保持溫和理性。</t>
        </is>
      </c>
      <c r="G36" s="32" t="inlineStr">
        <is>
          <t>無論是本地抑外國籍，對助理、主管佮各跨部門同仁（親像供應鏈、WPE、MPE、封裝、製程、品保等）攏愛維持好關係。講話氣口溫和柔軟，做代誌才順風順水。</t>
        </is>
      </c>
      <c r="H36" s="33" t="inlineStr"/>
      <c r="I36" s="29" t="inlineStr"/>
      <c r="J36" s="34" t="inlineStr"/>
      <c r="K36" s="35" t="inlineStr"/>
    </row>
    <row r="37" ht="24" customHeight="1">
      <c r="A37" s="36" t="inlineStr">
        <is>
          <t>Slide 1</t>
        </is>
      </c>
      <c r="B37" s="37" t="inlineStr">
        <is>
          <t>No. 34</t>
        </is>
      </c>
      <c r="C37" s="38" t="inlineStr">
        <is>
          <t>原則 6, 原則 16</t>
        </is>
      </c>
      <c r="D37" s="39" t="inlineStr">
        <is>
          <t>Make sure your presentation is free of low-level errors, whether it's an email or a spoken speech or report. If yes, please admit it and correct it in next discussion. Make sure it won't happen twice.</t>
        </is>
      </c>
      <c r="E37" s="40" t="inlineStr">
        <is>
          <t>Ensure your reports, presentations, and emails are free of low-level errors. If an error slips through, acknowledge it honestly and correct it in the next session. Make sure the same mistake never happens twice.</t>
        </is>
      </c>
      <c r="F37" s="41" t="inlineStr">
        <is>
          <t>確保你的簡報、郵件或報告中沒有低級錯誤（如錯字、格式混亂）。若真的出錯，坦然承認並在下一次討論中修正，絕不讓同樣的錯誤發生第二次。</t>
        </is>
      </c>
      <c r="G37" s="42" t="inlineStr">
        <is>
          <t>無論是簡報、電子信、口頭報告抑是書面報告，千萬莫出粗心漏氣的低級錯誤。若不二過真出差錯，大方承認閣佇下擺討論趕緊修正，保證絕對袂犯第二擺。</t>
        </is>
      </c>
      <c r="H37" s="43" t="inlineStr"/>
      <c r="I37" s="39" t="inlineStr"/>
      <c r="J37" s="44" t="inlineStr"/>
      <c r="K37" s="45" t="inlineStr"/>
    </row>
    <row r="38" ht="24" customHeight="1">
      <c r="A38" s="26" t="inlineStr">
        <is>
          <t>Slide 1</t>
        </is>
      </c>
      <c r="B38" s="27" t="inlineStr">
        <is>
          <t>No. 35</t>
        </is>
      </c>
      <c r="C38" s="28" t="inlineStr">
        <is>
          <t>原則 11</t>
        </is>
      </c>
      <c r="D38" s="29" t="inlineStr">
        <is>
          <t>Do write down his/her name in the email and say thank you, no matter how. Try to do similar things in the meeting. You will win the respect. ( check 10 ways to thank you and 10 ways to say no.) Ex: I got another priorities.</t>
        </is>
      </c>
      <c r="E38" s="30" t="inlineStr">
        <is>
          <t>Always address recipients by name in emails and express appreciation. Do the same in meetings to build mutual respect. (Prepare templates for "10 ways to say thank you" and "10 ways to politely say no," e.g., "I have other competing priorities.")</t>
        </is>
      </c>
      <c r="F38" s="31" t="inlineStr">
        <is>
          <t>寫信時指名道姓地稱呼對方並真誠致謝。開會時也維持同樣的禮貌，這會為你贏得尊重。（可準備「10種道謝方式」與「10種優雅拒絕範本」，例如：「我目前手頭有其他優先級更高的任務。」）</t>
        </is>
      </c>
      <c r="G38" s="32" t="inlineStr">
        <is>
          <t>寄信一定愛寫出對方的名、誠心講多謝。開會嘛照款做足禮數，自然會贏得尊重。（平素備好「十種道謝」佮「十種優雅拒絕」的講法，親像：「我手頭有別項閣較要緊的代誌愛先顧。」）</t>
        </is>
      </c>
      <c r="H38" s="33" t="inlineStr"/>
      <c r="I38" s="29" t="inlineStr"/>
      <c r="J38" s="34" t="inlineStr"/>
      <c r="K38" s="35" t="inlineStr"/>
    </row>
    <row r="39" ht="24" customHeight="1">
      <c r="A39" s="36" t="inlineStr">
        <is>
          <t>Slide 1</t>
        </is>
      </c>
      <c r="B39" s="37" t="inlineStr">
        <is>
          <t>No. 36</t>
        </is>
      </c>
      <c r="C39" s="38" t="inlineStr">
        <is>
          <t>原則 16, 原則 18</t>
        </is>
      </c>
      <c r="D39" s="39" t="inlineStr">
        <is>
          <t>Responsibility and accountability is about your attitude.</t>
        </is>
      </c>
      <c r="E39" s="40" t="inlineStr">
        <is>
          <t>Responsibility and accountability are ultimately defined by your daily professional attitude.</t>
        </is>
      </c>
      <c r="F39" s="41" t="inlineStr">
        <is>
          <t>當責與負責，本質上展現的就是你的職業態度。</t>
        </is>
      </c>
      <c r="G39" s="42" t="inlineStr">
        <is>
          <t>肯當責、敢承擔，骨底看出來的就是你做工的格調。</t>
        </is>
      </c>
      <c r="H39" s="43" t="inlineStr"/>
      <c r="I39" s="39" t="inlineStr"/>
      <c r="J39" s="44" t="inlineStr"/>
      <c r="K39" s="45" t="inlineStr"/>
    </row>
    <row r="40" ht="24" customHeight="1">
      <c r="A40" s="26" t="inlineStr">
        <is>
          <t>Slide 1</t>
        </is>
      </c>
      <c r="B40" s="27" t="inlineStr">
        <is>
          <t>No. 37</t>
        </is>
      </c>
      <c r="C40" s="28" t="inlineStr">
        <is>
          <t>原則 3, 原則 16</t>
        </is>
      </c>
      <c r="D40" s="29" t="inlineStr">
        <is>
          <t>Use latest SW or HW / save more time. Upgrade them. Like laptop, better screen, bigger and reliable hard disk, larger memory, battery, backup your files in the cloud ( remote access). (AI tool, other’s template, leverage others’ works. You need to find.)</t>
        </is>
      </c>
      <c r="E40" s="30" t="inlineStr">
        <is>
          <t>Utilize the latest software and hardware to save time. Keep your equipment upgraded (e.g., laptop, dual screens, larger RAM, and reliable cloud backups). Leverage AI tools and existing templates, and stand on the shoulders of giants.</t>
        </is>
      </c>
      <c r="F40" s="31" t="inlineStr">
        <is>
          <t>善用最新的軟硬體工具來節省時間。主動升級配備（如電腦、雙螢幕、更大記憶體與雲端備份）。積極尋找 AI 工具與他人做好的優秀範本，借力使力。</t>
        </is>
      </c>
      <c r="G40" s="32" t="inlineStr">
        <is>
          <t>善用最新的軟硬體工具來省時間。主動升級配備（親像筆電、好螢幕、大閣穩的硬碟、大記憶體、電池），檔案備份上雲端方便遠端取用。主動揣 AI 工具佮別人的好範本來借力使力，做工才袂戇戇出力。</t>
        </is>
      </c>
      <c r="H40" s="33" t="inlineStr"/>
      <c r="I40" s="29" t="inlineStr"/>
      <c r="J40" s="34" t="inlineStr"/>
      <c r="K40" s="35" t="inlineStr"/>
    </row>
    <row r="41" ht="24" customHeight="1">
      <c r="A41" s="36" t="inlineStr">
        <is>
          <t>Slide 1</t>
        </is>
      </c>
      <c r="B41" s="37" t="inlineStr">
        <is>
          <t>No. 38</t>
        </is>
      </c>
      <c r="C41" s="38" t="inlineStr">
        <is>
          <t>原則 4</t>
        </is>
      </c>
      <c r="D41" s="39" t="inlineStr">
        <is>
          <t>Make sure you backup your file regularly. (Permanent Note / fleet note /Literature Note ) , Put them in the cloud. You can easily find them and search them. Hard drive.</t>
        </is>
      </c>
      <c r="E41" s="40" t="inlineStr">
        <is>
          <t>Routinely back up your documentation and notes (fleeting, literature, and permanent notes) to cloud storage and dedicated local drives to enable fast retrieval and cross-referencing.</t>
        </is>
      </c>
      <c r="F41" s="41" t="inlineStr">
        <is>
          <t>養成定期備份檔案與筆記（包括閃念筆記、文獻筆記、永久筆記）的習慣。將資料上傳至雲端與硬碟，確保隨時可方便檢索與調閱。</t>
        </is>
      </c>
      <c r="G41" s="42" t="inlineStr">
        <is>
          <t>檔案佮筆記（閃念筆記、文獻筆記、永久筆記）愛定期備份，傳上雲端兼存硬碟。平素整理好勢，隨時欲查欲用攏一下仔就揣會著。</t>
        </is>
      </c>
      <c r="H41" s="43" t="inlineStr"/>
      <c r="I41" s="39" t="inlineStr"/>
      <c r="J41" s="44" t="inlineStr"/>
      <c r="K41" s="45" t="inlineStr"/>
    </row>
    <row r="42" ht="24" customHeight="1">
      <c r="A42" s="26" t="inlineStr">
        <is>
          <t>Slide 1</t>
        </is>
      </c>
      <c r="B42" s="27" t="inlineStr">
        <is>
          <t>No. 39</t>
        </is>
      </c>
      <c r="C42" s="28" t="inlineStr">
        <is>
          <t>原則 3</t>
        </is>
      </c>
      <c r="D42" s="29" t="inlineStr">
        <is>
          <t>Redo your task with half time ( double speed.) Make it as a module or template. Item23. Understand the background and theory behind.</t>
        </is>
      </c>
      <c r="E42" s="30" t="inlineStr">
        <is>
          <t>Challenge yourself to redo routine tasks in half the time. Turn them into modular scripts or templates (Related to Item 23). Deeply understand the background and theory behind the tasks.</t>
        </is>
      </c>
      <c r="F42" s="31" t="inlineStr">
        <is>
          <t>挑戰自己用一半的時間完成相同的例行工作。將其模組化或做成範本（參考第23條）。深入理解工作背後的物理本質與理論。</t>
        </is>
      </c>
      <c r="G42" s="32" t="inlineStr">
        <is>
          <t>挑戰用一半的時間（兩倍速度）完成仝款的工課，共伊做成模組抑是範本（參照第 23 項），並徹底摸透背後的背景佮原理。</t>
        </is>
      </c>
      <c r="H42" s="33" t="inlineStr"/>
      <c r="I42" s="29" t="inlineStr"/>
      <c r="J42" s="34" t="inlineStr"/>
      <c r="K42" s="35" t="inlineStr"/>
    </row>
    <row r="43" ht="24" customHeight="1">
      <c r="A43" s="36" t="inlineStr">
        <is>
          <t>Slide 1</t>
        </is>
      </c>
      <c r="B43" s="37" t="inlineStr">
        <is>
          <t>No. 40</t>
        </is>
      </c>
      <c r="C43" s="38" t="inlineStr">
        <is>
          <t>原則 6, 原則 15</t>
        </is>
      </c>
      <c r="D43" s="39" t="inlineStr">
        <is>
          <t>Try to be a leader, for any task or project or meeting organizer. To learn management with a logic and analyzed structurally. ( Gain some experience.) Visibility. Think further.</t>
        </is>
      </c>
      <c r="E43" s="40" t="inlineStr">
        <is>
          <t>Volunteer to lead tasks, projects, or meetings. Taking ownership helps build structured analytical and managerial skills, boosts your professional visibility, and encourages strategic, long-term thinking.</t>
        </is>
      </c>
      <c r="F43" s="41" t="inlineStr">
        <is>
          <t>爭取擔任任務、專案或會議的負責人。透過實際主導來淬鍊結構化邏輯與管理思維，累積經驗，提升個人能見度並培養遠見。</t>
        </is>
      </c>
      <c r="G43" s="42" t="inlineStr">
        <is>
          <t>主動爭取做任務、專案的頭人抑是會議召集人。藉帶頭來磨練結構化分析佮管理邏輯，累積實戰經驗、增加能見度，眼光放予遠。</t>
        </is>
      </c>
      <c r="H43" s="43" t="inlineStr"/>
      <c r="I43" s="39" t="inlineStr"/>
      <c r="J43" s="44" t="inlineStr"/>
      <c r="K43" s="45" t="inlineStr"/>
    </row>
    <row r="44" ht="24" customHeight="1">
      <c r="A44" s="26" t="inlineStr">
        <is>
          <t>Slide 1</t>
        </is>
      </c>
      <c r="B44" s="27" t="inlineStr">
        <is>
          <t>No. 41</t>
        </is>
      </c>
      <c r="C44" s="28" t="inlineStr">
        <is>
          <t>原則 11</t>
        </is>
      </c>
      <c r="D44" s="29" t="inlineStr">
        <is>
          <t>Dare to say NO or refuse or fight with others and with good reason / data. ( and 10 ways to say no.) in a classy way.大膽試探,能量管理</t>
        </is>
      </c>
      <c r="E44" s="30" t="inlineStr">
        <is>
          <t>Dare to say "no," reject unreasonable requests, or defend your position using solid data and logical arguments. Refuse in a classy, respectful manner. (Mindset of boundary testing and energy management)</t>
        </is>
      </c>
      <c r="F44" s="31" t="inlineStr">
        <is>
          <t>勇於說「不」，拒絕不合理的要求。在有數據與事實支持的情況下理直氣壯地據理力爭，且要維持得體、優雅的口吻。（大膽測試邊界與做好能量管理）</t>
        </is>
      </c>
      <c r="G44" s="32" t="inlineStr">
        <is>
          <t>拄著無理要求愛敢講「不（No）」，提道理佮數據出來據理力爭（備好十種拒絕的講法），姿態維持優雅大方。（大膽試探底線、做好能量管理）</t>
        </is>
      </c>
      <c r="H44" s="33" t="inlineStr"/>
      <c r="I44" s="29" t="inlineStr"/>
      <c r="J44" s="34" t="inlineStr"/>
      <c r="K44" s="35" t="inlineStr"/>
    </row>
    <row r="45" ht="24" customHeight="1">
      <c r="A45" s="36" t="inlineStr">
        <is>
          <t>Slide 1</t>
        </is>
      </c>
      <c r="B45" s="37" t="inlineStr">
        <is>
          <t>No. 42</t>
        </is>
      </c>
      <c r="C45" s="38" t="inlineStr">
        <is>
          <t>原則 4</t>
        </is>
      </c>
      <c r="D45" s="39" t="inlineStr">
        <is>
          <t>Spend time asking questions about life and try to find something new to learn from your colleague, even from their life.</t>
        </is>
      </c>
      <c r="E45" s="40" t="inlineStr">
        <is>
          <t>Spend time discussing life with colleagues; try to find new perspectives and learn from their life experiences.</t>
        </is>
      </c>
      <c r="F45" s="41" t="inlineStr">
        <is>
          <t>適度與同事聊聊生活，抱持好奇心去發現與學習別人工作以外的特長與人生智慧。</t>
        </is>
      </c>
      <c r="G45" s="42" t="inlineStr">
        <is>
          <t>不時佮同事開講話家常，帶好奇心向人討教工課以外的功夫佮人生智慧。</t>
        </is>
      </c>
      <c r="H45" s="43" t="inlineStr"/>
      <c r="I45" s="39" t="inlineStr"/>
      <c r="J45" s="44" t="inlineStr"/>
      <c r="K45" s="45" t="inlineStr"/>
    </row>
    <row r="46" ht="24" customHeight="1">
      <c r="A46" s="26" t="inlineStr">
        <is>
          <t>Slide 1</t>
        </is>
      </c>
      <c r="B46" s="27" t="inlineStr">
        <is>
          <t>No. 43</t>
        </is>
      </c>
      <c r="C46" s="28" t="inlineStr">
        <is>
          <t>原則 3</t>
        </is>
      </c>
      <c r="D46" s="29" t="inlineStr">
        <is>
          <t>Add daily review for task progress, make sure status is rolling. ( set in the calendar, avoid procrastination.)</t>
        </is>
      </c>
      <c r="E46" s="30" t="inlineStr">
        <is>
          <t>Set a daily calendar slot to review task progress, ensuring that statuses are rolled forward to prevent procrastination.</t>
        </is>
      </c>
      <c r="F46" s="31" t="inlineStr">
        <is>
          <t>在行事曆上留出固定時間進行每日進度盤點，確保任務狀態維持滾動更新，防止拖延。</t>
        </is>
      </c>
      <c r="G46" s="32" t="inlineStr">
        <is>
          <t>行事曆空出時間每日盤點，隨時滾動調配，莫予代誌拖沙延誤。</t>
        </is>
      </c>
      <c r="H46" s="33" t="inlineStr"/>
      <c r="I46" s="29" t="inlineStr"/>
      <c r="J46" s="34" t="inlineStr"/>
      <c r="K46" s="35" t="inlineStr"/>
    </row>
    <row r="47" ht="24" customHeight="1">
      <c r="A47" s="36" t="inlineStr">
        <is>
          <t>Slide 1</t>
        </is>
      </c>
      <c r="B47" s="37" t="inlineStr">
        <is>
          <t>No. 44</t>
        </is>
      </c>
      <c r="C47" s="38" t="inlineStr">
        <is>
          <t>原則 9, 原則 13</t>
        </is>
      </c>
      <c r="D47" s="39" t="inlineStr">
        <is>
          <t>Try to read foreign colleague’s name correctly and recognize their face from picture if any. It will help you to impress them and help communication.</t>
        </is>
      </c>
      <c r="E47" s="40" t="inlineStr">
        <is>
          <t>Make an effort to pronounce foreign colleagues' names correctly and associate them with their profile photos. This builds rapport and facilitates smoother communication.</t>
        </is>
      </c>
      <c r="F47" s="41" t="inlineStr">
        <is>
          <t>努力唸準外籍同事的名字，並看著照片認清對方的長相。這能留下良好第一印象，讓後續跨國溝通事半功倍。</t>
        </is>
      </c>
      <c r="G47" s="42" t="inlineStr">
        <is>
          <t>外國同事的名念予正、相片面貌認清楚。好印象落底，後步溝通事半功倍。</t>
        </is>
      </c>
      <c r="H47" s="43" t="inlineStr"/>
      <c r="I47" s="39" t="inlineStr"/>
      <c r="J47" s="44" t="inlineStr"/>
      <c r="K47" s="45" t="inlineStr"/>
    </row>
    <row r="48" ht="24" customHeight="1">
      <c r="A48" s="26" t="inlineStr">
        <is>
          <t>Slide 1</t>
        </is>
      </c>
      <c r="B48" s="27" t="inlineStr">
        <is>
          <t>No. 45</t>
        </is>
      </c>
      <c r="C48" s="28" t="inlineStr">
        <is>
          <t>原則 7, 原則 20</t>
        </is>
      </c>
      <c r="D48" s="29" t="inlineStr">
        <is>
          <t>To apply your work skillset into your life. This will simplify your life and work with less effort. And practice makes perfect. Small steps, not pursuit perfect. Management</t>
        </is>
      </c>
      <c r="E48" s="30" t="inlineStr">
        <is>
          <t>Apply professional management skillsets to your personal life to streamline routines and reduce effort. Practice regularly through small, continuous steps instead of pursuing immediate perfection.</t>
        </is>
      </c>
      <c r="F48" s="31" t="inlineStr">
        <is>
          <t>將工作上的管理技能延伸運用至日常生活，能讓生活與工作皆大為簡化、事半功倍。透過持續的小步迭代來累積成果，不必過度追求一步到位。</t>
        </is>
      </c>
      <c r="G48" s="32" t="inlineStr">
        <is>
          <t>共職場管理的工夫運用佇日常生活，日子變簡單、做代誌嘛省氣力。熟能生巧，靠小步沓沓仔行，莫強求一擺到頂，步步累積上實在。</t>
        </is>
      </c>
      <c r="H48" s="33" t="inlineStr"/>
      <c r="I48" s="29" t="inlineStr"/>
      <c r="J48" s="34" t="inlineStr"/>
      <c r="K48" s="35" t="inlineStr"/>
    </row>
    <row r="49" ht="24" customHeight="1">
      <c r="A49" s="36" t="inlineStr">
        <is>
          <t>Slide 1</t>
        </is>
      </c>
      <c r="B49" s="37" t="inlineStr">
        <is>
          <t>No. 46</t>
        </is>
      </c>
      <c r="C49" s="38" t="inlineStr">
        <is>
          <t>原則 18</t>
        </is>
      </c>
      <c r="D49" s="39" t="inlineStr">
        <is>
          <t>Be patient. Take deep breath when you feel chaos. Drink a hot tea. ( check your favorite movies / songs list; drink coffee, not to addict to it), Maybe you need to slow down. Vs comfort zone.</t>
        </is>
      </c>
      <c r="E49" s="40" t="inlineStr">
        <is>
          <t>Maintain patience when encountering chaos—take deep breaths, enjoy a hot beverage, or engage with your favorite media to reset. Slowing down intentionally helps preserve mental clarity when pushing past comfort zones.</t>
        </is>
      </c>
      <c r="F49" s="41" t="inlineStr">
        <is>
          <t>保持耐心。感到混亂時深呼吸，喝杯熱茶適度放鬆（收聽喜愛的影音清單，咖啡適量即可）。適時放慢步調，能幫助你在走出舒適圈時維持內心的平衡。</t>
        </is>
      </c>
      <c r="G49" s="42" t="inlineStr">
        <is>
          <t>保持耐心。心頭亂操操的時陣深呼吸、啉杯燒茶喘一口氣（看佮意的電影抑是聽歌單；啉咖啡莫成癮）。踏出舒適圈時適時放慢跤步，心神才袂亂。</t>
        </is>
      </c>
      <c r="H49" s="43" t="inlineStr"/>
      <c r="I49" s="39" t="inlineStr"/>
      <c r="J49" s="44" t="inlineStr"/>
      <c r="K49" s="45" t="inlineStr"/>
    </row>
    <row r="50" ht="24" customHeight="1">
      <c r="A50" s="26" t="inlineStr">
        <is>
          <t>Slide 1</t>
        </is>
      </c>
      <c r="B50" s="27" t="inlineStr">
        <is>
          <t>No. 47</t>
        </is>
      </c>
      <c r="C50" s="28" t="inlineStr">
        <is>
          <t>原則 6</t>
        </is>
      </c>
      <c r="D50" s="29" t="inlineStr">
        <is>
          <t>Use ORID (Objective/Reflective/Interpretive/Decisional) methodology to analysis question and concerns. Forget emotion, be professional in expertise field.</t>
        </is>
      </c>
      <c r="E50" s="30" t="inlineStr">
        <is>
          <t>Apply the ORID focal conversation method (Objective, Reflective, Interpretive, Decisional) to analyze issues. Put emotions aside and maintain strict professionalism in your area of expertise.</t>
        </is>
      </c>
      <c r="F50" s="31" t="inlineStr">
        <is>
          <t>運用 ORID 焦點討論法（客觀事實、主觀反應、詮釋分析、做出決策）來梳理問題。排除情緒化干擾，以專業視角冷靜處理。</t>
        </is>
      </c>
      <c r="G50" s="32" t="inlineStr">
        <is>
          <t>用 ORID 焦點討論法（看事實、問感受、理因由、定主裁）來剖析問題佮疑慮。放開個人情緒，佇專業領域保持冷靜佮專業。</t>
        </is>
      </c>
      <c r="H50" s="33" t="inlineStr"/>
      <c r="I50" s="29" t="inlineStr"/>
      <c r="J50" s="34" t="inlineStr"/>
      <c r="K50" s="35" t="inlineStr"/>
    </row>
    <row r="51" ht="24" customHeight="1">
      <c r="A51" s="36" t="inlineStr">
        <is>
          <t>Slide 1</t>
        </is>
      </c>
      <c r="B51" s="37" t="inlineStr">
        <is>
          <t>No. 48</t>
        </is>
      </c>
      <c r="C51" s="38" t="inlineStr">
        <is>
          <t>原則 18</t>
        </is>
      </c>
      <c r="D51" s="39" t="inlineStr">
        <is>
          <t>Take a deep breath and smile when there is a challenge. Keep open-minded to accept different opinions. Item 46.</t>
        </is>
      </c>
      <c r="E51" s="40" t="inlineStr">
        <is>
          <t>Take a deep breath and smile when facing challenges. Keep an open mind and welcome diverse opinions. (Related to Item 46)</t>
        </is>
      </c>
      <c r="F51" s="41" t="inlineStr">
        <is>
          <t>面對挑戰時，深呼吸並微笑面對。保持開放心態，傾聽並接納不同的意見。</t>
        </is>
      </c>
      <c r="G51" s="42" t="inlineStr">
        <is>
          <t>拄著挑戰的時陣，深吸一口氣、面帶笑容。心胸放開闊，接納無仝款的意見。（參照第 46 項）</t>
        </is>
      </c>
      <c r="H51" s="43" t="inlineStr"/>
      <c r="I51" s="39" t="inlineStr"/>
      <c r="J51" s="44" t="inlineStr"/>
      <c r="K51" s="45" t="inlineStr"/>
    </row>
    <row r="52" ht="24" customHeight="1">
      <c r="A52" s="26" t="inlineStr">
        <is>
          <t>Slide 1</t>
        </is>
      </c>
      <c r="B52" s="27" t="inlineStr">
        <is>
          <t>No. 49</t>
        </is>
      </c>
      <c r="C52" s="28" t="inlineStr">
        <is>
          <t>原則 6</t>
        </is>
      </c>
      <c r="D52" s="29" t="inlineStr">
        <is>
          <t>Ask why (3*5) Simon Sinek）黃金圈法則（Golden-Circle）. Motivation and meaning. Item 46.</t>
        </is>
      </c>
      <c r="E52" s="30" t="inlineStr">
        <is>
          <t>Ask "Why" repeatedly (using Simon Sinek's Golden Circle concept) to understand the core motivation and meaning behind tasks. (Related to Item 46)</t>
        </is>
      </c>
      <c r="F52" s="31" t="inlineStr">
        <is>
          <t>重複追問「為什麼」（借鑒黃金圈法則 Golden Circle），找出任務背後的核心動機與真實意圖。</t>
        </is>
      </c>
      <c r="G52" s="32" t="inlineStr">
        <is>
          <t>連環追問「為啥物」（運用 Simon Sinek 黃金圈法則），摸透代誌背後真正的動機佮意義。（參照第 46 項）</t>
        </is>
      </c>
      <c r="H52" s="33" t="inlineStr"/>
      <c r="I52" s="29" t="inlineStr"/>
      <c r="J52" s="34" t="inlineStr"/>
      <c r="K52" s="35" t="inlineStr"/>
    </row>
    <row r="53" ht="24" customHeight="1">
      <c r="A53" s="36" t="inlineStr">
        <is>
          <t>Slide 1</t>
        </is>
      </c>
      <c r="B53" s="37" t="inlineStr">
        <is>
          <t>No. 50</t>
        </is>
      </c>
      <c r="C53" s="38" t="inlineStr">
        <is>
          <t>原則 6, 原則 18</t>
        </is>
      </c>
      <c r="D53" s="39" t="inlineStr">
        <is>
          <t>Calculate probability of failure or win. If cannot, why or what do you need more? To avoid the loss. (Do stress test, avoid the low-tech error.) Item 34. Item 297, 125. book value vs intrinsic value. Thinking in bet.</t>
        </is>
      </c>
      <c r="E53" s="40" t="inlineStr">
        <is>
          <t>Calculate the probability of success versus failure. If you cannot estimate it, identify what data you lack. Do stress testing to prevent catastrophic low-tech errors. Assess intrinsic value versus book value, and think in bets. (Related to Items 34, 125, and 297)</t>
        </is>
      </c>
      <c r="F53" s="41" t="inlineStr">
        <is>
          <t>計算失敗與勝出的機率。若算不出來，思考還缺乏哪些關鍵數據？進行壓力測試以防止低級技術性失誤。評估事物的「內在價值」而非僅看表面帳面價值，學會理性下注（Thinking in bets）。</t>
        </is>
      </c>
      <c r="G53" s="42" t="inlineStr">
        <is>
          <t>算清楚輸贏的機率；若算袂出來，檢討是欠啥物資料，設法避開損失。做足壓力測試防範低級錯誤，看內在實質價值莫單看帳面數字，用理性跋注的思維做決定。（參照第 34、125 佮 297 項）</t>
        </is>
      </c>
      <c r="H53" s="43" t="inlineStr"/>
      <c r="I53" s="39" t="inlineStr"/>
      <c r="J53" s="44" t="inlineStr"/>
      <c r="K53" s="45" t="inlineStr"/>
    </row>
    <row r="54" ht="24" customHeight="1">
      <c r="A54" s="26" t="inlineStr">
        <is>
          <t>Slide 1</t>
        </is>
      </c>
      <c r="B54" s="27" t="inlineStr">
        <is>
          <t>No. 51</t>
        </is>
      </c>
      <c r="C54" s="28" t="inlineStr">
        <is>
          <t>原則 2, 原則 11</t>
        </is>
      </c>
      <c r="D54" s="29" t="inlineStr">
        <is>
          <t>React quick for some cases due to opportunities, but some cases not. ( reply your boss email.) focus on key items, let bullet fly. Don't over reply and over do. Chhose the right battle.</t>
        </is>
      </c>
      <c r="E54" s="30" t="inlineStr">
        <is>
          <t>React quickly when opportunities arise (such as replying to your boss's critical emails), but "let the bullets fly" (wait and observe) for non-urgent matters. Focus on key items, avoid over-replying or over-delivering, and choose your battles wisely.</t>
        </is>
      </c>
      <c r="F54" s="31" t="inlineStr">
        <is>
          <t>對高價值機遇（如老闆的關鍵郵件）要快速響應；但對某些一般事務則要「讓子彈飛一會兒」（靜觀其變）。專注於核心，避免過度回覆與瞎忙，選擇正確的戰場。</t>
        </is>
      </c>
      <c r="G54" s="32" t="inlineStr">
        <is>
          <t>拄著好機會（親像回頭家的要緊信）愛緊接招；一般代誌就「予銃子飛一下」（靜觀其變）。精神顧大項，莫過度回信抑是白無閒，揀對戰場才出手。</t>
        </is>
      </c>
      <c r="H54" s="33" t="inlineStr"/>
      <c r="I54" s="29" t="inlineStr"/>
      <c r="J54" s="34" t="inlineStr"/>
      <c r="K54" s="35" t="inlineStr"/>
    </row>
    <row r="55" ht="24" customHeight="1">
      <c r="A55" s="36" t="inlineStr">
        <is>
          <t>Slide 1</t>
        </is>
      </c>
      <c r="B55" s="37" t="inlineStr">
        <is>
          <t>No. 52</t>
        </is>
      </c>
      <c r="C55" s="38" t="inlineStr">
        <is>
          <t>原則 8, 原則 15</t>
        </is>
      </c>
      <c r="D55" s="39" t="inlineStr">
        <is>
          <t>List down 3 main tasks for your KPI per day. Push your step to next milestone.</t>
        </is>
      </c>
      <c r="E55" s="40" t="inlineStr">
        <is>
          <t>Identify and focus on 3 key tasks per day that directly align with your KPIs to steadily push your project to the next milestone.</t>
        </is>
      </c>
      <c r="F55" s="41" t="inlineStr">
        <is>
          <t>每天列出 3 項與 KPI 核心指標直接掛鉤的關鍵任務，專注執行以推進至下個里程碑。</t>
        </is>
      </c>
      <c r="G55" s="42" t="inlineStr">
        <is>
          <t>逐日列出 3 項直接關係著 KPI 的核心工課，專心推進到下一个里程碑。</t>
        </is>
      </c>
      <c r="H55" s="43" t="inlineStr"/>
      <c r="I55" s="39" t="inlineStr"/>
      <c r="J55" s="44" t="inlineStr"/>
      <c r="K55" s="45" t="inlineStr"/>
    </row>
    <row r="56" ht="24" customHeight="1">
      <c r="A56" s="26" t="inlineStr">
        <is>
          <t>Slide 1</t>
        </is>
      </c>
      <c r="B56" s="27" t="inlineStr">
        <is>
          <t>No. 53</t>
        </is>
      </c>
      <c r="C56" s="28" t="inlineStr">
        <is>
          <t>原則 15</t>
        </is>
      </c>
      <c r="D56" s="29" t="inlineStr">
        <is>
          <t>Ask your boss how KPI measured and then set it. Set in workday app. Update it monthly.潛規則;hidden rules. What’s KPI for next year? For your life, meaningful, mindfulness…breakdown the tasks.</t>
        </is>
      </c>
      <c r="E56" s="30" t="inlineStr">
        <is>
          <t>Clarify KPI evaluation criteria with your manager before submitting annual targets in management tools like Workday. Maintain monthly progress updates, align with unwritten expectations, and break down strategic goals into meaningful, actionable tasks.</t>
        </is>
      </c>
      <c r="F56" s="31" t="inlineStr">
        <is>
          <t>主動與主管確認 KPI 評核標準後再填報設定（如在 Workday 系統），並每月定期更新進度。掌握職場的隱形規則，提前規劃年度目標，並將宏大願景拆解為具體可執行的任務。</t>
        </is>
      </c>
      <c r="G56" s="32" t="inlineStr">
        <is>
          <t>先向主管問清楚 KPI 按怎算，才去 Workday 系統設定，而且逐個月更新。摸透職場潛規則，提早盤算明年的 KPI 佮人生有意義的目標，共大願景拆做細項步步落實。</t>
        </is>
      </c>
      <c r="H56" s="33" t="inlineStr"/>
      <c r="I56" s="29" t="inlineStr"/>
      <c r="J56" s="34" t="inlineStr"/>
      <c r="K56" s="35" t="inlineStr"/>
    </row>
    <row r="57" ht="24" customHeight="1">
      <c r="A57" s="36" t="inlineStr">
        <is>
          <t>Slide 1</t>
        </is>
      </c>
      <c r="B57" s="37" t="inlineStr">
        <is>
          <t>No. 54</t>
        </is>
      </c>
      <c r="C57" s="38" t="inlineStr">
        <is>
          <t>原則 4, 原則 13</t>
        </is>
      </c>
      <c r="D57" s="39" t="inlineStr">
        <is>
          <t>Do not bother your boss unless it is necessary. Google it before asking questions to your colleagues. Let them do their jobs.</t>
        </is>
      </c>
      <c r="E57" s="40" t="inlineStr">
        <is>
          <t>Avoid bothering your manager unless necessary. Search for answers (e.g., Google or internal wikis) before asking colleagues, respecting their time and concentration.</t>
        </is>
      </c>
      <c r="F57" s="41" t="inlineStr">
        <is>
          <t>除非必要，否則不要輕易打擾主管。向同事發問前，先自己查資料（如 Google 或內部維基），讓大家能專注做自己的工作。</t>
        </is>
      </c>
      <c r="G57" s="42" t="inlineStr">
        <is>
          <t>若無必要莫去吵主管。開喙問同仁進前，家己先 Google 抑是查資料，留清靜的時間予逐家專心做工課。</t>
        </is>
      </c>
      <c r="H57" s="43" t="inlineStr"/>
      <c r="I57" s="39" t="inlineStr"/>
      <c r="J57" s="44" t="inlineStr"/>
      <c r="K57" s="45" t="inlineStr"/>
    </row>
    <row r="58" ht="24" customHeight="1">
      <c r="A58" s="26" t="inlineStr">
        <is>
          <t>Slide 1</t>
        </is>
      </c>
      <c r="B58" s="27" t="inlineStr">
        <is>
          <t>No. 55</t>
        </is>
      </c>
      <c r="C58" s="28" t="inlineStr">
        <is>
          <t>原則 13</t>
        </is>
      </c>
      <c r="D58" s="29" t="inlineStr">
        <is>
          <t>Distinguish the role and responsibility between team members. Item 36.</t>
        </is>
      </c>
      <c r="E58" s="30" t="inlineStr">
        <is>
          <t>Clearly define the roles and responsibilities (R&amp;R) among team members. (Related to Item 36)</t>
        </is>
      </c>
      <c r="F58" s="31" t="inlineStr">
        <is>
          <t>明確劃分團隊成員間的職責分工（Role &amp; Responsibility, R&amp;R），避免權責不清。</t>
        </is>
      </c>
      <c r="G58" s="32" t="inlineStr">
        <is>
          <t>團隊成員的角色佮責任（R&amp;R）愛切予分明，啥人擔當、啥人負責講清楚，才袂相推責任。（參照第 36 項）</t>
        </is>
      </c>
      <c r="H58" s="33" t="inlineStr"/>
      <c r="I58" s="29" t="inlineStr"/>
      <c r="J58" s="34" t="inlineStr"/>
      <c r="K58" s="35" t="inlineStr"/>
    </row>
    <row r="59" ht="24" customHeight="1">
      <c r="A59" s="36" t="inlineStr">
        <is>
          <t>Slide 1</t>
        </is>
      </c>
      <c r="B59" s="37" t="inlineStr">
        <is>
          <t>No. 56</t>
        </is>
      </c>
      <c r="C59" s="38" t="inlineStr">
        <is>
          <t>原則 6, 原則 12</t>
        </is>
      </c>
      <c r="D59" s="39" t="inlineStr">
        <is>
          <t>Train the capability to Predict the direction of the event. What is the worse case? 297. EX…預前驗屍</t>
        </is>
      </c>
      <c r="E59" s="40" t="inlineStr">
        <is>
          <t>Train yourself to predict event outcomes and anticipate the worst-case scenario. Conduct pre-mortem analysis to prepare defenses. (Related to Item 297)</t>
        </is>
      </c>
      <c r="F59" s="41" t="inlineStr">
        <is>
          <t>鍛鍊自己預測事件發展趨勢的能力。時常思考：最壞的情況是什麼？運用「預前驗屍（Pre-mortem）」分析，提前做好避險規劃。</t>
        </is>
      </c>
      <c r="G59" s="42" t="inlineStr">
        <is>
          <t>練出預測代誌風向的眼光。定定自問：上歹的狀況會變按怎？用「預前驗屍」先拍預防針，提早佈好避險後步。（參照第 297 項）</t>
        </is>
      </c>
      <c r="H59" s="43" t="inlineStr"/>
      <c r="I59" s="39" t="inlineStr"/>
      <c r="J59" s="44" t="inlineStr"/>
      <c r="K59" s="45" t="inlineStr"/>
    </row>
    <row r="60" ht="24" customHeight="1">
      <c r="A60" s="26" t="inlineStr">
        <is>
          <t>Slide 2</t>
        </is>
      </c>
      <c r="B60" s="27" t="inlineStr">
        <is>
          <t>No. 57</t>
        </is>
      </c>
      <c r="C60" s="28" t="inlineStr">
        <is>
          <t>原則 15</t>
        </is>
      </c>
      <c r="D60" s="29" t="inlineStr">
        <is>
          <t>Rehearsal at least twice before presentation. Practice makes perfect. Practice deliberately.</t>
        </is>
      </c>
      <c r="E60" s="30" t="inlineStr">
        <is>
          <t>Rehearse at least twice before any presentation. Practice makes perfect; engage in deliberate practice.</t>
        </is>
      </c>
      <c r="F60" s="31" t="inlineStr">
        <is>
          <t>簡報前至少排練兩次。熟能生巧，實行刻意練習。</t>
        </is>
      </c>
      <c r="G60" s="32" t="inlineStr">
        <is>
          <t>簡報進前上無愛排練兩擺。熟能生巧，實行刻意練習，工夫定定磨才會純熟。</t>
        </is>
      </c>
      <c r="H60" s="33" t="inlineStr"/>
      <c r="I60" s="29" t="inlineStr"/>
      <c r="J60" s="34" t="inlineStr"/>
      <c r="K60" s="35" t="inlineStr"/>
    </row>
    <row r="61" ht="24" customHeight="1">
      <c r="A61" s="36" t="inlineStr">
        <is>
          <t>Slide 2</t>
        </is>
      </c>
      <c r="B61" s="37" t="inlineStr">
        <is>
          <t>No. 58</t>
        </is>
      </c>
      <c r="C61" s="38" t="inlineStr">
        <is>
          <t>原則 15</t>
        </is>
      </c>
      <c r="D61" s="39" t="inlineStr">
        <is>
          <t>Ask yourself potential questions others may ask for presentation. Prepare a list. Item 3. EX: … why delay schedule, Item 32.</t>
        </is>
      </c>
      <c r="E61" s="40" t="inlineStr">
        <is>
          <t>Anticipate questions the audience might ask during your presentation. Prepare a Q&amp;A list in advance (e.g., explaining schedule delays). (Related to Items 3 and 32)</t>
        </is>
      </c>
      <c r="F61" s="41" t="inlineStr">
        <is>
          <t>設想聽眾在簡報時可能會問的問題。提前準備好問答清單（例如：為何進度延遲？），做好應對準備。</t>
        </is>
      </c>
      <c r="G61" s="42" t="inlineStr">
        <is>
          <t>簡報進前，先設想別人可能會問啥物問題。提早備好問答清單（親像進度為啥物延誤），準備好勢才上台接招。（參照第 3 佮 32 項）</t>
        </is>
      </c>
      <c r="H61" s="43" t="inlineStr"/>
      <c r="I61" s="39" t="inlineStr"/>
      <c r="J61" s="44" t="inlineStr"/>
      <c r="K61" s="45" t="inlineStr"/>
    </row>
    <row r="62" ht="24" customHeight="1">
      <c r="A62" s="26" t="inlineStr">
        <is>
          <t>Slide 2</t>
        </is>
      </c>
      <c r="B62" s="27" t="inlineStr">
        <is>
          <t>No. 59</t>
        </is>
      </c>
      <c r="C62" s="28" t="inlineStr">
        <is>
          <t>原則 1, 原則 4</t>
        </is>
      </c>
      <c r="D62" s="29" t="inlineStr">
        <is>
          <t>Write down / breakdown task and set deadline in calendar. Draw mindmap or flow. Gantter plot.</t>
        </is>
      </c>
      <c r="E62" s="30" t="inlineStr">
        <is>
          <t>Write down and break down tasks, then schedule deadlines on your calendar. Draw mind maps, process flows, or Gantt charts to visualize progress.</t>
        </is>
      </c>
      <c r="F62" s="31" t="inlineStr">
        <is>
          <t>書寫並拆解任務，在行事曆上設定截止日期。繪製心智圖、流程圖或甘特圖來將工作進度視覺化。</t>
        </is>
      </c>
      <c r="G62" s="32" t="inlineStr">
        <is>
          <t>共工課寫落來、拆做細項，佇行事曆設定完工期限。畫心智圖、流程圖抑是甘特圖，共進度攤開看現現。</t>
        </is>
      </c>
      <c r="H62" s="33" t="inlineStr"/>
      <c r="I62" s="29" t="inlineStr"/>
      <c r="J62" s="34" t="inlineStr"/>
      <c r="K62" s="35" t="inlineStr"/>
    </row>
    <row r="63" ht="24" customHeight="1">
      <c r="A63" s="36" t="inlineStr">
        <is>
          <t>Slide 2</t>
        </is>
      </c>
      <c r="B63" s="37" t="inlineStr">
        <is>
          <t>No. 60</t>
        </is>
      </c>
      <c r="C63" s="38" t="inlineStr">
        <is>
          <t>原則 8, 原則 19</t>
        </is>
      </c>
      <c r="D63" s="39" t="inlineStr">
        <is>
          <t>Energy management and find the priority. Always do the important thing first. (OKR=objective key result.) Power of will is limited. Rule of Subtraction.</t>
        </is>
      </c>
      <c r="E63" s="40" t="inlineStr">
        <is>
          <t>Manage your energy and identify key priorities. Always tackle the most important tasks first (aligned with OKRs). Remember that willpower is limited; practice the rule of subtraction to reduce clutter.</t>
        </is>
      </c>
      <c r="F63" s="41" t="inlineStr">
        <is>
          <t>管理個人能量並找出最核心的事。永遠先做最重要的事（與 OKR 目標對齊）。意志力是有限的資源；學會做減法，排除次要雜務。</t>
        </is>
      </c>
      <c r="G63" s="42" t="inlineStr">
        <is>
          <t>顧好精神氣力，揀出上優先的頭路。永遠先做上要緊的代誌（對齊 OKR 目標）。人的意志力有限，愛實行「減法法則」，冗雜的細務放一邊。</t>
        </is>
      </c>
      <c r="H63" s="43" t="inlineStr"/>
      <c r="I63" s="39" t="inlineStr"/>
      <c r="J63" s="44" t="inlineStr"/>
      <c r="K63" s="45" t="inlineStr"/>
    </row>
    <row r="64" ht="24" customHeight="1">
      <c r="A64" s="26" t="inlineStr">
        <is>
          <t>Slide 2</t>
        </is>
      </c>
      <c r="B64" s="27" t="inlineStr">
        <is>
          <t>No. 61</t>
        </is>
      </c>
      <c r="C64" s="28" t="inlineStr">
        <is>
          <t>原則 5, 原則 6</t>
        </is>
      </c>
      <c r="D64" s="29" t="inlineStr">
        <is>
          <t>Correlation does not imply causation. Deductive Reasoning(演繹推理)? Inductive reasoning (歸納推理)?片斷推理fragmentary reasoning</t>
        </is>
      </c>
      <c r="E64" s="30" t="inlineStr">
        <is>
          <t>Remember that correlation does not imply causation. Apply deductive and inductive reasoning carefully, and avoid the trap of fragmentary reasoning.</t>
        </is>
      </c>
      <c r="F64" s="31" t="inlineStr">
        <is>
          <t>記住「相關性不等於因果關係」。謹慎運用演繹推理與歸納推理，避免陷入碎片化、片面的推理陷阱。</t>
        </is>
      </c>
      <c r="G64" s="32" t="inlineStr">
        <is>
          <t>愛記持「相牽連毋等於有因果」。演繹推理佮歸納推理愛斟酌用，莫看一搭就講成一片，落入碎片推理的陷阱。</t>
        </is>
      </c>
      <c r="H64" s="33" t="inlineStr"/>
      <c r="I64" s="29" t="inlineStr"/>
      <c r="J64" s="34" t="inlineStr"/>
      <c r="K64" s="35" t="inlineStr"/>
    </row>
    <row r="65" ht="24" customHeight="1">
      <c r="A65" s="36" t="inlineStr">
        <is>
          <t>Slide 2</t>
        </is>
      </c>
      <c r="B65" s="37" t="inlineStr">
        <is>
          <t>No. 62</t>
        </is>
      </c>
      <c r="C65" s="38" t="inlineStr">
        <is>
          <t>原則 15</t>
        </is>
      </c>
      <c r="D65" s="39" t="inlineStr">
        <is>
          <t>Learn /be familiar with company culture because your boss did care. ( company margin, target.) what is your boss concern? BBSC, hold cost. When do they have regular meeting and report what? CAGR Compound Annual Growth Rate. Competitor?</t>
        </is>
      </c>
      <c r="E65" s="40" t="inlineStr">
        <is>
          <t>Understand and align with company culture and business metrics, as they matter to your manager (e.g., gross margin, targets, holding costs, and CAGR). Know your manager's concerns, competitor movements, and the schedules and reporting requirements of regular business reviews (like BBSC).</t>
        </is>
      </c>
      <c r="F65" s="41" t="inlineStr">
        <is>
          <t>熟悉公司的文化與核心商業指標，因為這是主管在意的重點（如毛利、營收目標、庫存持有成本、CAGR 複合年均增長率等）。掌握老闆的核心關切點、對手動態，以及定期會議（如 BBSC）的時程與報告要點。</t>
        </is>
      </c>
      <c r="G65" s="42" t="inlineStr">
        <is>
          <t>公司的文化佮核心指標愛熟手，這攏是頭家佮主管看重的眉角（毛利、營業目標、庫存成本、CAGR 成長率等）。愛知影主管在意的代誌佮對手的動作，定期會議（親像 BBSC）的時程佮報告重點著愛先掠好勢。</t>
        </is>
      </c>
      <c r="H65" s="43" t="inlineStr"/>
      <c r="I65" s="39" t="inlineStr"/>
      <c r="J65" s="44" t="inlineStr"/>
      <c r="K65" s="45" t="inlineStr"/>
    </row>
    <row r="66" ht="24" customHeight="1">
      <c r="A66" s="26" t="inlineStr">
        <is>
          <t>Slide 2</t>
        </is>
      </c>
      <c r="B66" s="27" t="inlineStr">
        <is>
          <t>No. 63</t>
        </is>
      </c>
      <c r="C66" s="28" t="inlineStr">
        <is>
          <t>原則 9</t>
        </is>
      </c>
      <c r="D66" s="29" t="inlineStr">
        <is>
          <t>Try to rephrase statement and re-plot in opposite shoe. Make it be simple and be easily understood. 同理心(Empathy) vs 同情心(Sympathy) "</t>
        </is>
      </c>
      <c r="E66" s="30" t="inlineStr">
        <is>
          <t>Rephrase statements and simplify data visualizations by putting yourself in the audience's shoes. Make complex information simple and easy to understand. Practice empathy rather than just sympathy.</t>
        </is>
      </c>
      <c r="F66" s="31" t="inlineStr">
        <is>
          <t>換位思考，重新調整你的說法與圖表呈現方式。力求資訊簡單明瞭、易於吸收。實踐職場的同理心（Empathy），而非單純的同情心（Sympathy）。</t>
        </is>
      </c>
      <c r="G66" s="32" t="inlineStr">
        <is>
          <t>企佇對方的角度來想，重新調整講法佮圖表。代誌講予簡單明瞭、好消化。佇職場愛有「同理心」，莫干焦出「同情心」。</t>
        </is>
      </c>
      <c r="H66" s="33" t="inlineStr"/>
      <c r="I66" s="29" t="inlineStr"/>
      <c r="J66" s="34" t="inlineStr"/>
      <c r="K66" s="35" t="inlineStr"/>
    </row>
    <row r="67" ht="24" customHeight="1">
      <c r="A67" s="36" t="inlineStr">
        <is>
          <t>Slide 2</t>
        </is>
      </c>
      <c r="B67" s="37" t="inlineStr">
        <is>
          <t>No. 64</t>
        </is>
      </c>
      <c r="C67" s="38" t="inlineStr">
        <is>
          <t>原則 5</t>
        </is>
      </c>
      <c r="D67" s="39" t="inlineStr">
        <is>
          <t>Have sense of CPK / statistic / probability , using a table may be more precise than a plot. (推論性統計 (Inferential Statistics)confident level, interval) What is your database?, any selectively biased or for certain time domain? ANOVA, linear regression. (bimodality ) , normality check, sigma, delta-sigma, %GRR.</t>
        </is>
      </c>
      <c r="E67" s="40" t="inlineStr">
        <is>
          <t>Maintain a strong grasp of statistics, CPK, and probability; sometimes a structured table is more precise than a chart. Use inferential statistics (confidence levels and intervals), verify database integrity (checking for selection bias or time-domain constraints), and utilize tools like ANOVA, linear regression, normality checks, sigma levels, and %GRR.</t>
        </is>
      </c>
      <c r="F67" s="41" t="inlineStr">
        <is>
          <t>培養對 CPK（製程能力指數）、統計學與機率的敏感度；有時用表格呈現數據比圖表更精確。掌握推論性統計（信心水準與信賴區間），檢查資料庫是否有選擇性偏差或特定的時間限制，並善用 ANOVA（變異數分析）、線性回歸、常態性檢驗、西格瑪值與 %GRR（量具重複性與再現性）。</t>
        </is>
      </c>
      <c r="G67" s="42" t="inlineStr">
        <is>
          <t>對 CPK、統計佮機率愛有敏感度；有時陣列表格比畫圖閣較精準。熟手推論統計（信心水準佮信賴區間），巡看資料庫敢有取樣偏差抑是特定時間範圍的限制，並善用 ANOVA、線性迴歸、雙峰分佈（Bimodality）、常態檢驗、Sigma、Delta-Sigma 佮 %GRR 來剖析。</t>
        </is>
      </c>
      <c r="H67" s="43" t="inlineStr"/>
      <c r="I67" s="39" t="inlineStr"/>
      <c r="J67" s="44" t="inlineStr"/>
      <c r="K67" s="45" t="inlineStr"/>
    </row>
    <row r="68" ht="24" customHeight="1">
      <c r="A68" s="26" t="inlineStr">
        <is>
          <t>Slide 2</t>
        </is>
      </c>
      <c r="B68" s="27" t="inlineStr">
        <is>
          <t>No. 65</t>
        </is>
      </c>
      <c r="C68" s="28" t="inlineStr">
        <is>
          <t>原則 3, 原則 4</t>
        </is>
      </c>
      <c r="D68" s="29" t="inlineStr">
        <is>
          <t>File naming / folder management / file backup / scope. Easy to find in few seconds. Using a longer name. To help identify job classification. Product-stage-SVN-CAT-issue-version_ DATE, knowledge management.</t>
        </is>
      </c>
      <c r="E68" s="30" t="inlineStr">
        <is>
          <t>Implement strict file naming conventions, folder structures, and regular backups. Use detailed naming patterns (e.g., `Product-Stage-SVN-Category-Issue-Version_DATE`) to identify job classifications instantly and facilitate retrieval in seconds as part of knowledge management.</t>
        </is>
      </c>
      <c r="F68" s="31" t="inlineStr">
        <is>
          <t>落實嚴格的命名規範、資料夾管理與定期備份。採用詳細且長檔名的命名結構（例如：產品-階段-SVN-分類-問題-版本_日期），以便在數秒內精確檢索與辨識，做好知識管理。</t>
        </is>
      </c>
      <c r="G68" s="32" t="inlineStr">
        <is>
          <t>落實檔案命名、資料夾管理佮定期備份。檔名寫予長、寫予清楚（親像：產品-階段-SVN-分類-問題-版本_日期），一目了然工作類別，幾秒鐘內就揣會著，做好知識管理。</t>
        </is>
      </c>
      <c r="H68" s="33" t="inlineStr"/>
      <c r="I68" s="29" t="inlineStr"/>
      <c r="J68" s="34" t="inlineStr"/>
      <c r="K68" s="35" t="inlineStr"/>
    </row>
    <row r="69" ht="24" customHeight="1">
      <c r="A69" s="36" t="inlineStr">
        <is>
          <t>Slide 2</t>
        </is>
      </c>
      <c r="B69" s="37" t="inlineStr">
        <is>
          <t>No. 66</t>
        </is>
      </c>
      <c r="C69" s="38" t="inlineStr">
        <is>
          <t>原則 18, 原則 19</t>
        </is>
      </c>
      <c r="D69" s="39" t="inlineStr">
        <is>
          <t>Take a walk or take a deep breath, Stretching exercises when you feel pressure. Item 46, 48. Heavy weight training, even take a leave.</t>
        </is>
      </c>
      <c r="E69" s="40" t="inlineStr">
        <is>
          <t>When feeling stressed, take a walk, practice deep breathing, or do stretching exercises. Incorporate heavy weight training into your routine, or take a short leave to reset. (Related to Items 46 and 48)</t>
        </is>
      </c>
      <c r="F69" s="41" t="inlineStr">
        <is>
          <t>感到壓力大時，起立走走、深呼吸或做伸展運動。規律進行重量訓練，必要時請假休息以重新調整狀態。</t>
        </is>
      </c>
      <c r="G69" s="42" t="inlineStr">
        <is>
          <t>壓力大、頭殼脹的時陣，徛起來行行咧、深呼吸，抑是伸展筋骨。平素規律做重量訓練，必要時請假歇睏充電，養飽元氣閣再出發。（參照第 46 佮 48 項）</t>
        </is>
      </c>
      <c r="H69" s="43" t="inlineStr"/>
      <c r="I69" s="39" t="inlineStr"/>
      <c r="J69" s="44" t="inlineStr"/>
      <c r="K69" s="45" t="inlineStr"/>
    </row>
    <row r="70" ht="24" customHeight="1">
      <c r="A70" s="26" t="inlineStr">
        <is>
          <t>Slide 2</t>
        </is>
      </c>
      <c r="B70" s="27" t="inlineStr">
        <is>
          <t>No. 67</t>
        </is>
      </c>
      <c r="C70" s="28" t="inlineStr">
        <is>
          <t>原則 6, 原則 15</t>
        </is>
      </c>
      <c r="D70" s="29" t="inlineStr">
        <is>
          <t>Try to quantize your task and effort in percentage, completeness or put smile, angry, yellow face. It doesn’t mean not important even it cannot be quantitated. Color coding? It is important when you are leading a project.</t>
        </is>
      </c>
      <c r="E70" s="30" t="inlineStr">
        <is>
          <t>Quantify your tasks and effort using completion percentages, status metrics, or visual indicators (like color coding or icons). Note that even if something cannot be easily quantified, it does not mean it is unimportant. Clear tracking is essential when leading a project.</t>
        </is>
      </c>
      <c r="F70" s="31" t="inlineStr">
        <is>
          <t>用完成百分比、進度指標或視覺標記（如顏色代碼或表情符號）將任務與付出量化。請記住，無法被輕易量化的事情並不代表它不重要。在領導專案時，這種進度追蹤非常關鍵。</t>
        </is>
      </c>
      <c r="G70" s="32" t="inlineStr">
        <is>
          <t>用完成比例、顏色標記抑是表情符號（笑面、受氣面、黃面）共任務佮心血量化。愛記持，無法度量化算數字的代誌，並毋是無要緊。佇帶專案的時陣，進度看現現非常關鍵。</t>
        </is>
      </c>
      <c r="H70" s="33" t="inlineStr"/>
      <c r="I70" s="29" t="inlineStr"/>
      <c r="J70" s="34" t="inlineStr"/>
      <c r="K70" s="35" t="inlineStr"/>
    </row>
    <row r="71" ht="24" customHeight="1">
      <c r="A71" s="36" t="inlineStr">
        <is>
          <t>Slide 2</t>
        </is>
      </c>
      <c r="B71" s="37" t="inlineStr">
        <is>
          <t>No. 68</t>
        </is>
      </c>
      <c r="C71" s="38" t="inlineStr">
        <is>
          <t>原則 5</t>
        </is>
      </c>
      <c r="D71" s="39" t="inlineStr">
        <is>
          <t>Data can be used to prove or cheat. Statistical meaning or data to prove your statement, sample size is enough. Intuition or Feeling will mislead you. Item 64. Where is the data from? To avoid causal fallacy 因果謬誤. ( big sigma, variation is big or forget outliers may lead black swan.)</t>
        </is>
      </c>
      <c r="E71" s="40" t="inlineStr">
        <is>
          <t>Data can be used to prove facts or to mislead. Ensure the sample size is statistically significant before using data to back your arguments. Avoid relying on intuition or feeling, which can be misleading. Always ask where the data comes from to avoid causal fallacies, and watch out for large variations (sigma) or outliers that could lead to black swan events. (Related to Item 64)</t>
        </is>
      </c>
      <c r="F71" s="41" t="inlineStr">
        <is>
          <t>數據可以用來證明事實，也能用來蒙蔽真相。用數據支持論點前，確保樣本數足夠。直覺與感覺往往會誤導你。務必釐清數據的來源以避免因果謬誤；注意過大的變異（Sigma）或被忽略的極端值，防範黑天鵝風險。</t>
        </is>
      </c>
      <c r="G71" s="42" t="inlineStr">
        <is>
          <t>數據會當證明事實，嘛會當騙人。用統計數據支持論點進前，樣本數愛夠額，莫單靠直覺抑是感覺，彼真好騙人。追究數據對佗位來，避免因果謬誤；注意變異（Sigma）傷大抑是放抹記的極端值，提防惹出烏天鵝災殃。（參照第 64 項）</t>
        </is>
      </c>
      <c r="H71" s="43" t="inlineStr"/>
      <c r="I71" s="39" t="inlineStr"/>
      <c r="J71" s="44" t="inlineStr"/>
      <c r="K71" s="45" t="inlineStr"/>
    </row>
    <row r="72" ht="24" customHeight="1">
      <c r="A72" s="26" t="inlineStr">
        <is>
          <t>Slide 2</t>
        </is>
      </c>
      <c r="B72" s="27" t="inlineStr">
        <is>
          <t>No. 69</t>
        </is>
      </c>
      <c r="C72" s="28" t="inlineStr">
        <is>
          <t>原則 9, 原則 10</t>
        </is>
      </c>
      <c r="D72" s="29" t="inlineStr">
        <is>
          <t>Don’t ask basic questions if you are not well-prepared. You may not know what is the basic question. Sometimes we ask basic questions, it is to check we had the same level knowledge, recognition and mindset.</t>
        </is>
      </c>
      <c r="E72" s="30" t="inlineStr">
        <is>
          <t>Do not ask basic questions without preparation. However, keep in mind that sometimes asking basic questions is a strategic way to verify if everyone shares the same level of knowledge, recognition, and alignment.</t>
        </is>
      </c>
      <c r="F72" s="31" t="inlineStr">
        <is>
          <t>不要在毫無準備的情況下問基本問題。但也要明白，有時開會提出基本問題，是為了確認團隊是否在相同的資訊基礎、認知與共識水平上。</t>
        </is>
      </c>
      <c r="G72" s="32" t="inlineStr">
        <is>
          <t>無做功課進前，莫烏白問初步問題。毋過嘛愛知影，開會有時問基本問題，是為著確認逐家敢有企佇仝款的基礎、認知佮共識頂高。</t>
        </is>
      </c>
      <c r="H72" s="33" t="inlineStr"/>
      <c r="I72" s="29" t="inlineStr"/>
      <c r="J72" s="34" t="inlineStr"/>
      <c r="K72" s="35" t="inlineStr"/>
    </row>
    <row r="73" ht="24" customHeight="1">
      <c r="A73" s="36" t="inlineStr">
        <is>
          <t>Slide 2</t>
        </is>
      </c>
      <c r="B73" s="37" t="inlineStr">
        <is>
          <t>No. 70</t>
        </is>
      </c>
      <c r="C73" s="38" t="inlineStr">
        <is>
          <t>原則 16, 原則 18</t>
        </is>
      </c>
      <c r="D73" s="39" t="inlineStr">
        <is>
          <t>Keep principles and follow. Item 14.</t>
        </is>
      </c>
      <c r="E73" s="40" t="inlineStr">
        <is>
          <t>Establish clear working principles and adhere to them consistently. (Related to Item 14)</t>
        </is>
      </c>
      <c r="F73" s="41" t="inlineStr">
        <is>
          <t>建立明確的工作原則並嚴格遵循。</t>
        </is>
      </c>
      <c r="G73" s="42" t="inlineStr">
        <is>
          <t>立定清楚的做代誌原則，穩穩照步輦行。（參照第 14 項）</t>
        </is>
      </c>
      <c r="H73" s="43" t="inlineStr"/>
      <c r="I73" s="39" t="inlineStr"/>
      <c r="J73" s="44" t="inlineStr"/>
      <c r="K73" s="45" t="inlineStr"/>
    </row>
    <row r="74" ht="24" customHeight="1">
      <c r="A74" s="26" t="inlineStr">
        <is>
          <t>Slide 2</t>
        </is>
      </c>
      <c r="B74" s="27" t="inlineStr">
        <is>
          <t>No. 71</t>
        </is>
      </c>
      <c r="C74" s="28" t="inlineStr">
        <is>
          <t>原則 9</t>
        </is>
      </c>
      <c r="D74" s="29" t="inlineStr">
        <is>
          <t>Use simple words to explain to others since they may not have time to think, like your top rank managers. Item 63.</t>
        </is>
      </c>
      <c r="E74" s="30" t="inlineStr">
        <is>
          <t>Explain concepts in simple terms, especially to busy executives who do not have time to digest complex details. (Related to Item 63)</t>
        </is>
      </c>
      <c r="F74" s="31" t="inlineStr">
        <is>
          <t>用最簡單直白的話解釋事情，因為高階主管往往沒有時間去琢磨複雜的技術細節。</t>
        </is>
      </c>
      <c r="G74" s="32" t="inlineStr">
        <is>
          <t>代誌用上白話、上簡單的方式講予人明瞭。大主管無閒閣費神，講話愛直接切入重點，莫繞大箍欄。（參照第 63 項）</t>
        </is>
      </c>
      <c r="H74" s="33" t="inlineStr"/>
      <c r="I74" s="29" t="inlineStr"/>
      <c r="J74" s="34" t="inlineStr"/>
      <c r="K74" s="35" t="inlineStr"/>
    </row>
    <row r="75" ht="24" customHeight="1">
      <c r="A75" s="36" t="inlineStr">
        <is>
          <t>Slide 2</t>
        </is>
      </c>
      <c r="B75" s="37" t="inlineStr">
        <is>
          <t>No. 72</t>
        </is>
      </c>
      <c r="C75" s="38" t="inlineStr">
        <is>
          <t>原則 14</t>
        </is>
      </c>
      <c r="D75" s="39" t="inlineStr">
        <is>
          <t>don’t show hand till it is necessary. Don’t tell others faults or mistakes if they really want to know or want to improve. Save some bullets.</t>
        </is>
      </c>
      <c r="E75" s="40" t="inlineStr">
        <is>
          <t>Do not show your hand until it is necessary. Avoid pointing out others' faults unless they genuinely seek feedback to improve. Always save some diplomatic leverage ("save some bullets").</t>
        </is>
      </c>
      <c r="F75" s="41" t="inlineStr">
        <is>
          <t>底牌不到關鍵時刻不要亮出來。除非他人真心求教以求改進，否則不要主動糾正別人的錯誤。在職場上要保留一些談判與外交籌碼。</t>
        </is>
      </c>
      <c r="G75" s="42" t="inlineStr">
        <is>
          <t>底牌無到關鍵時刻莫掀出來。除非別人真心請教想欲改進，無就莫主動糾正人的毋是。手頭愛留幾粒銃子，做人做事才有留後路。</t>
        </is>
      </c>
      <c r="H75" s="43" t="inlineStr"/>
      <c r="I75" s="39" t="inlineStr"/>
      <c r="J75" s="44" t="inlineStr"/>
      <c r="K75" s="45" t="inlineStr"/>
    </row>
    <row r="76" ht="24" customHeight="1">
      <c r="A76" s="26" t="inlineStr">
        <is>
          <t>Slide 2</t>
        </is>
      </c>
      <c r="B76" s="27" t="inlineStr">
        <is>
          <t>No. 73</t>
        </is>
      </c>
      <c r="C76" s="28" t="inlineStr">
        <is>
          <t>原則 18</t>
        </is>
      </c>
      <c r="D76" s="29" t="inlineStr">
        <is>
          <t>If well prepared, then relax, don't make yourself heartache. Feeling nervous is a good sign.</t>
        </is>
      </c>
      <c r="E76" s="30" t="inlineStr">
        <is>
          <t>If you are well-prepared, relax. Do not let anxiety overwhelm you; feeling a bit nervous is a positive sign that you care and are ready.</t>
        </is>
      </c>
      <c r="F76" s="31" t="inlineStr">
        <is>
          <t>既然已經做足準備，就放寬心。不要給自己過度心理壓力；感到些許緊張是正常的生理反應，代表你重視這場戰役。</t>
        </is>
      </c>
      <c r="G76" s="32" t="inlineStr">
        <is>
          <t>既然功課做夠額，心肝著愛放開。莫予家己操煩過頭；心內淡薄仔緊張是好現象，表示你對這場代誌真有心。</t>
        </is>
      </c>
      <c r="H76" s="33" t="inlineStr"/>
      <c r="I76" s="29" t="inlineStr"/>
      <c r="J76" s="34" t="inlineStr"/>
      <c r="K76" s="35" t="inlineStr"/>
    </row>
    <row r="77" ht="24" customHeight="1">
      <c r="A77" s="36" t="inlineStr">
        <is>
          <t>Slide 2</t>
        </is>
      </c>
      <c r="B77" s="37" t="inlineStr">
        <is>
          <t>No. 74</t>
        </is>
      </c>
      <c r="C77" s="38" t="inlineStr">
        <is>
          <t>原則 15, 原則 18</t>
        </is>
      </c>
      <c r="D77" s="39" t="inlineStr">
        <is>
          <t>Do respect what you achieved and your hard work and neglect when someone says a terrible words to you or simple sentence. You know you did a good job; you had accomplished a good achievement. You should have a record for this year to show to others.</t>
        </is>
      </c>
      <c r="E77" s="40" t="inlineStr">
        <is>
          <t>Respect your own achievements and hard work. Ignore harsh or dismissive comments from others. You know your own value and what you have accomplished; keep a detailed record of your achievements throughout the year to present when needed.</t>
        </is>
      </c>
      <c r="F77" s="41" t="inlineStr">
        <is>
          <t>尊重並肯定自己的辛勞與成就。對於旁人隨意、刻薄的批評，不必放在心上。只有你最清楚自己付出了多少、做成了什麼；妥善記錄整年的工作成果，這才是你最有力的證明。</t>
        </is>
      </c>
      <c r="G77" s="42" t="inlineStr">
        <is>
          <t>尊重閣肯定家己的拍拚佮成績。別人隨喙講講、刻薄難聽的話，莫囥佇心肝內。家己流偌濟汗、做出啥物成果，家己上清楚；規年的好表現愛留紀錄，這才是展予人看上硬的底氣。</t>
        </is>
      </c>
      <c r="H77" s="43" t="inlineStr"/>
      <c r="I77" s="39" t="inlineStr"/>
      <c r="J77" s="44" t="inlineStr"/>
      <c r="K77" s="45" t="inlineStr"/>
    </row>
    <row r="78" ht="24" customHeight="1">
      <c r="A78" s="26" t="inlineStr">
        <is>
          <t>Slide 2</t>
        </is>
      </c>
      <c r="B78" s="27" t="inlineStr">
        <is>
          <t>No. 75</t>
        </is>
      </c>
      <c r="C78" s="28" t="inlineStr">
        <is>
          <t>原則 18</t>
        </is>
      </c>
      <c r="D78" s="29" t="inlineStr">
        <is>
          <t>We all want to make life easier, however life there are full of challenges and difficulties. the most important is failures happen sometimes and that is normal, that is not your fault because you did a job in limited time.</t>
        </is>
      </c>
      <c r="E78" s="30" t="inlineStr">
        <is>
          <t>We all want an easier life, but reality is full of challenges. Acceptance of occasional failure is essential; it is normal and often not your fault, especially when you are doing your best within a limited timeframe.</t>
        </is>
      </c>
      <c r="F78" s="31" t="inlineStr">
        <is>
          <t>我們都希望生活順遂，但現實總是充滿挑戰。接受偶爾的失敗，這很正常，且往往並非你的過錯，特別是在有限時間內你已經盡力了。</t>
        </is>
      </c>
      <c r="G78" s="32" t="inlineStr">
        <is>
          <t>人人攏想欲過好日子，毋過人生本成就充滿風浪佮考驗。代誌有時失敗真平常，時間有限之下你已經盡心盡力，莫逐項攏怪家己。</t>
        </is>
      </c>
      <c r="H78" s="33" t="inlineStr"/>
      <c r="I78" s="29" t="inlineStr"/>
      <c r="J78" s="34" t="inlineStr"/>
      <c r="K78" s="35" t="inlineStr"/>
    </row>
    <row r="79" ht="24" customHeight="1">
      <c r="A79" s="36" t="inlineStr">
        <is>
          <t>Slide 2</t>
        </is>
      </c>
      <c r="B79" s="37" t="inlineStr">
        <is>
          <t>No. 76</t>
        </is>
      </c>
      <c r="C79" s="38" t="inlineStr">
        <is>
          <t>原則 12, 原則 14</t>
        </is>
      </c>
      <c r="D79" s="39" t="inlineStr">
        <is>
          <t>Be honest to yourself and management team. Show Integrity when you make mistake. Behave as code of conduct.; but not clueless.</t>
        </is>
      </c>
      <c r="E79" s="40" t="inlineStr">
        <is>
          <t>Be honest with yourself and the management team. Demonstrate integrity when making a mistake and adhere to the company's code of conduct, while remaining politically smart (never be clueless).</t>
        </is>
      </c>
      <c r="F79" s="41" t="inlineStr">
        <is>
          <t>對自己和管理層保持誠實。犯錯時展現誠信與擔當，遵循公司的行為準則；但同時要保持職場敏感度，切忌白目。</t>
        </is>
      </c>
      <c r="G79" s="42" t="inlineStr">
        <is>
          <t>對家己佮管理層愛老實。做毋著代誌愛有擔當、展誠信，照公司行為準則行事；毋過目睭嘛愛放予金，千萬莫白目毋知死活。</t>
        </is>
      </c>
      <c r="H79" s="43" t="inlineStr"/>
      <c r="I79" s="39" t="inlineStr"/>
      <c r="J79" s="44" t="inlineStr"/>
      <c r="K79" s="45" t="inlineStr"/>
    </row>
    <row r="80" ht="24" customHeight="1">
      <c r="A80" s="26" t="inlineStr">
        <is>
          <t>Slide 2</t>
        </is>
      </c>
      <c r="B80" s="27" t="inlineStr">
        <is>
          <t>No. 77</t>
        </is>
      </c>
      <c r="C80" s="28" t="inlineStr">
        <is>
          <t>原則 18</t>
        </is>
      </c>
      <c r="D80" s="29" t="inlineStr">
        <is>
          <t>And tell yourself you (or your colleagues) already did a great job over months and do not look down on yourself because someone says something. ( put your ego aside)</t>
        </is>
      </c>
      <c r="E80" s="30" t="inlineStr">
        <is>
          <t>Remind yourself and your team that you have done excellent work over the months. Do not let offhand comments affect your self-worth; put your ego aside and focus on facts.</t>
        </is>
      </c>
      <c r="F80" s="31" t="inlineStr">
        <is>
          <t>告訴自己和團隊：過去幾個月來大家做得棒極了！不要因為某人的一句話就自我懷疑、看輕自己。放下無謂的自尊（Ego），用客觀事實看問題。</t>
        </is>
      </c>
      <c r="G80" s="32" t="inlineStr">
        <is>
          <t>共家己佮同仁肯定拍噗仔：這幾個月來逐家已經做甲誠讚矣！莫因為別人一句閒話就看輕家己。共無謂的面子（Ego）放一邊，看重實質成績。</t>
        </is>
      </c>
      <c r="H80" s="33" t="inlineStr"/>
      <c r="I80" s="29" t="inlineStr"/>
      <c r="J80" s="34" t="inlineStr"/>
      <c r="K80" s="35" t="inlineStr"/>
    </row>
    <row r="81" ht="24" customHeight="1">
      <c r="A81" s="36" t="inlineStr">
        <is>
          <t>Slide 2</t>
        </is>
      </c>
      <c r="B81" s="37" t="inlineStr">
        <is>
          <t>No. 78</t>
        </is>
      </c>
      <c r="C81" s="38" t="inlineStr">
        <is>
          <t>原則 15</t>
        </is>
      </c>
      <c r="D81" s="39" t="inlineStr">
        <is>
          <t>Your priorities are not your boss priorities, even your colleague's.</t>
        </is>
      </c>
      <c r="E81" s="40" t="inlineStr">
        <is>
          <t>Remember that your priorities may not align with your manager's or your colleagues' priorities. Focus on aligning them.</t>
        </is>
      </c>
      <c r="F81" s="41" t="inlineStr">
        <is>
          <t>始終記住：你眼中的首要任務，在主管或同事眼裡可能並非第一優先。要主動與他們對齊優先順序。</t>
        </is>
      </c>
      <c r="G81" s="42" t="inlineStr">
        <is>
          <t>愛記佇心肝：你心目中上要緊的代誌，佇主管抑是同仁眼內未必排第一。愛主動佮主管對齊，先後順序才袂走精。</t>
        </is>
      </c>
      <c r="H81" s="43" t="inlineStr"/>
      <c r="I81" s="39" t="inlineStr"/>
      <c r="J81" s="44" t="inlineStr"/>
      <c r="K81" s="45" t="inlineStr"/>
    </row>
    <row r="82" ht="24" customHeight="1">
      <c r="A82" s="26" t="inlineStr">
        <is>
          <t>Slide 2</t>
        </is>
      </c>
      <c r="B82" s="27" t="inlineStr">
        <is>
          <t>No. 79</t>
        </is>
      </c>
      <c r="C82" s="28" t="inlineStr">
        <is>
          <t>原則 13</t>
        </is>
      </c>
      <c r="D82" s="29" t="inlineStr">
        <is>
          <t>And most important things is clean your ass before you want to clean someone's ass. Item88, 234.</t>
        </is>
      </c>
      <c r="E82" s="30" t="inlineStr">
        <is>
          <t>Ensure your own work is flawless and your responsibilities are fully met before you attempt to criticize or correct others. (Related to Items 88 and 234)</t>
        </is>
      </c>
      <c r="F82" s="31" t="inlineStr">
        <is>
          <t>在想管別人的閒事或糾正他人之前，先確保自己手頭的工作沒有紕漏、責任已完全盡到。</t>
        </is>
      </c>
      <c r="G82" s="32" t="inlineStr">
        <is>
          <t>上要緊的是，欲替別人拭尻川進前，家己的尻川先拭予清氣。手頭的本分顧予好勢、無留破綻，才好去講別人。（參照第 88 佮 234 項）</t>
        </is>
      </c>
      <c r="H82" s="33" t="inlineStr"/>
      <c r="I82" s="29" t="inlineStr"/>
      <c r="J82" s="34" t="inlineStr"/>
      <c r="K82" s="35" t="inlineStr"/>
    </row>
    <row r="83" ht="24" customHeight="1">
      <c r="A83" s="36" t="inlineStr">
        <is>
          <t>Slide 2</t>
        </is>
      </c>
      <c r="B83" s="37" t="inlineStr">
        <is>
          <t>No. 80</t>
        </is>
      </c>
      <c r="C83" s="38" t="inlineStr">
        <is>
          <t>原則 13</t>
        </is>
      </c>
      <c r="D83" s="39" t="inlineStr">
        <is>
          <t>And do not expect they say thank you or do anything for you. What you did is what you should do or for yourself for certain goal.</t>
        </is>
      </c>
      <c r="E83" s="40" t="inlineStr">
        <is>
          <t>Do not expect others to thank you or return favors. Treat your work and contributions as professional duties or steps toward your own career goals.</t>
        </is>
      </c>
      <c r="F83" s="41" t="inlineStr">
        <is>
          <t>不要指望別人會對你心懷感激或給予回報。把你所做的一切當作專業職責，或是實現個人目標的累積。</t>
        </is>
      </c>
      <c r="G83" s="42" t="inlineStr">
        <is>
          <t>莫數想別人會向你道謝抑是回報你。共所做的代誌當做專業本分，抑是替家己達成目標所累積的本錢。</t>
        </is>
      </c>
      <c r="H83" s="43" t="inlineStr"/>
      <c r="I83" s="39" t="inlineStr"/>
      <c r="J83" s="44" t="inlineStr"/>
      <c r="K83" s="45" t="inlineStr"/>
    </row>
    <row r="84" ht="24" customHeight="1">
      <c r="A84" s="26" t="inlineStr">
        <is>
          <t>Slide 2</t>
        </is>
      </c>
      <c r="B84" s="27" t="inlineStr">
        <is>
          <t>No. 81</t>
        </is>
      </c>
      <c r="C84" s="28" t="inlineStr">
        <is>
          <t>原則 18</t>
        </is>
      </c>
      <c r="D84" s="29" t="inlineStr">
        <is>
          <t>try to commit to your mistake and say sorry and even if you think you already finished all the things and sometimes you skip or neglect or overlook by accident. therefore, you need some peer review or feedback or a good checklist to make sure you didn't miss anything. that's why we need to have review ourselfs regularly because you are not perfect, and everything may change during the time. Therefore, you may renew the checklist. Iteration. Task-oriented, retrospective. Continuously improvement and gradually better. Purposed-oriented.</t>
        </is>
      </c>
      <c r="E84" s="30" t="inlineStr">
        <is>
          <t>Own up to mistakes and apologize promptly when oversights occur. Rely on peer reviews, constructive feedback, and updated checklists to prevent missed details. Regularly conduct retrospectives to iterate, update checklists, and achieve continuous, purpose-driven improvement.</t>
        </is>
      </c>
      <c r="F84" s="31" t="inlineStr">
        <is>
          <t>勇於承認錯誤並及時致歉。意識到個人思慮難免有疏漏，應建立同行審查、同仁回饋與查核清單（Checklist）機制。透過定期覆盤與持續迭代，動態修訂檢核標準，實現以目標為導向的自我完善。</t>
        </is>
      </c>
      <c r="G84" s="32" t="inlineStr">
        <is>
          <t>做毋著代誌愛敢認錯、隨時會失禮。人無十全十美，有時認為做齊矣猶是會無小心漏勾；所以愛靠同仁審查、回饋佮檢核清單（Checklist）來防破綻。時勢一直變，愛定定覆盤反省、更新清單，以目標為導向持續迭代，一步一步愈做愈好。</t>
        </is>
      </c>
      <c r="H84" s="33" t="inlineStr"/>
      <c r="I84" s="29" t="inlineStr"/>
      <c r="J84" s="34" t="inlineStr"/>
      <c r="K84" s="35" t="inlineStr"/>
    </row>
    <row r="85" ht="24" customHeight="1">
      <c r="A85" s="36" t="inlineStr">
        <is>
          <t>Slide 2</t>
        </is>
      </c>
      <c r="B85" s="37" t="inlineStr">
        <is>
          <t>No. 82</t>
        </is>
      </c>
      <c r="C85" s="38" t="inlineStr">
        <is>
          <t>原則 2</t>
        </is>
      </c>
      <c r="D85" s="39" t="inlineStr">
        <is>
          <t>Do not input many information in one time, especially bad news. You also need good news to your boss. To set “ delayed delivery” for sending email when you already finished and don’t want to send right away. ( email, clean layout)</t>
        </is>
      </c>
      <c r="E85" s="40" t="inlineStr">
        <is>
          <t>Avoid overwhelming stakeholders with too much information at once, particularly bad news. Balance negative updates with positive wins when reporting to leadership. Use delayed email delivery to time communication strategically, and keep email layouts clean and concise.</t>
        </is>
      </c>
      <c r="F85" s="41" t="inlineStr">
        <is>
          <t>避免一次性堆疊過多資訊，尤其是壞消息；向主管回報時應注意好壞訊息的平衡與搭配。完成工作後可運用電子郵件的「預約定時寄件」功能彈性控管發送時機，並保持信件排版簡潔有條理。</t>
        </is>
      </c>
      <c r="G85" s="42" t="inlineStr">
        <is>
          <t>報消息莫一擺塞傷濟，特別是歹消息，向主管報告愛搭配好消息來平衡。信若寫好猶未欲馬上寄，會用得設「預約定時寄件」，版面排予清氣俐落，傳達訊息才到位。</t>
        </is>
      </c>
      <c r="H85" s="43" t="inlineStr"/>
      <c r="I85" s="39" t="inlineStr"/>
      <c r="J85" s="44" t="inlineStr"/>
      <c r="K85" s="45" t="inlineStr"/>
    </row>
    <row r="86" ht="24" customHeight="1">
      <c r="A86" s="26" t="inlineStr">
        <is>
          <t>Slide 2</t>
        </is>
      </c>
      <c r="B86" s="27" t="inlineStr">
        <is>
          <t>No. 83</t>
        </is>
      </c>
      <c r="C86" s="28" t="inlineStr">
        <is>
          <t>原則 18, 原則 20</t>
        </is>
      </c>
      <c r="D86" s="29" t="inlineStr">
        <is>
          <t>Try to take a leave for 2-3 days even longer. (Align with family's schedule, mother’s day, birthday and tomb-sweeping day, new year…) Item 46. (Review it in the morning.) You need to recharge and spend time to look back what you have finished. Even 2 hours. ( reserve time to take a break, learn new things.), you need to record it, set the timeline in google calendar. ( let bullets fly, put your ass heavy, metal resilience, failure is part of life. (personal project)</t>
        </is>
      </c>
      <c r="E86" s="30" t="inlineStr">
        <is>
          <t>Schedule extended leaves (2-3 days or more) aligned with key family milestones to recharge. Set aside dedicated reflection time in your calendar to review achievements and acquire new skills. Cultivate mental resilience—stay grounded, allow situation dynamics to unfold naturally, and embrace setbacks as growth opportunities.</t>
        </is>
      </c>
      <c r="F86" s="31" t="inlineStr">
        <is>
          <t>安排 2-3 天以上的假期（結合家庭重要節日與時程）充充電。在行事曆中為自己預留專屬的覆盤與學習時間。建立強大的心理韌性，保持沉著穩重，讓子彈飛一會兒，將挫折視為成長的一部分。</t>
        </is>
      </c>
      <c r="G86" s="32" t="inlineStr">
        <is>
          <t>安排兩三工以上連假（配合厝內人的行程，親像母親節、生日、清明、過年）好好充電。佇 Google 行事曆留時間（就算兩點鐘嘛好）早起覆盤成果、歇喘佮學新代誌。養出強韌的心肝，「尻川坐予在」、予銃子飛一下，共失敗當做人生常態。（參照第 46 項）</t>
        </is>
      </c>
      <c r="H86" s="33" t="inlineStr"/>
      <c r="I86" s="29" t="inlineStr"/>
      <c r="J86" s="34" t="inlineStr"/>
      <c r="K86" s="35" t="inlineStr"/>
    </row>
    <row r="87" ht="24" customHeight="1">
      <c r="A87" s="36" t="inlineStr">
        <is>
          <t>Slide 2</t>
        </is>
      </c>
      <c r="B87" s="37" t="inlineStr">
        <is>
          <t>No. 84</t>
        </is>
      </c>
      <c r="C87" s="38" t="inlineStr">
        <is>
          <t>原則 18</t>
        </is>
      </c>
      <c r="D87" s="39" t="inlineStr">
        <is>
          <t>Challenges and failure always happen and think about the previous achievement, and you will find difficulties you occur now is a piece of cake. Focus on solution, progress and problem solving instead of emotion. You will not be such emotional when you focus on it. Item75, you will thank yourself n the future that you didn’t give up.</t>
        </is>
      </c>
      <c r="E87" s="40" t="inlineStr">
        <is>
          <t>Challenges and failures are normal. Reflecting on past achievements will help you realize that current difficulties are manageable. Focus on solutions and progress rather than emotion; concentrating on problem-solving naturally reduces emotional anxiety. Future you will thank you for not giving up. (Related to Item 75)</t>
        </is>
      </c>
      <c r="F87" s="41" t="inlineStr">
        <is>
          <t>挑戰與失敗是家常便飯。回頭看看自己過去克服的困難與成就，你會發現眼前的難關其實不算什麼。將精力集中於尋找解決方案與推進進度，當你聚焦於解決問題時，焦慮情緒自然會消退。未來的你會感謝現在堅持下去的自己。</t>
        </is>
      </c>
      <c r="G87" s="42" t="inlineStr">
        <is>
          <t>挑戰佮失敗本是家常便飯。越頭看過去拚過關的成績，就會發覺眼前的難關根本是小菜一碟。共精神集中佇解決辦法佮推進度，莫陷佇情緒內底；專心解題，煩惱自然消散。日後的你一定會多謝這馬無放棄的家己。（參照第 75 項）</t>
        </is>
      </c>
      <c r="H87" s="43" t="inlineStr"/>
      <c r="I87" s="39" t="inlineStr"/>
      <c r="J87" s="44" t="inlineStr"/>
      <c r="K87" s="45" t="inlineStr"/>
    </row>
    <row r="88" ht="24" customHeight="1">
      <c r="A88" s="26" t="inlineStr">
        <is>
          <t>Slide 2</t>
        </is>
      </c>
      <c r="B88" s="27" t="inlineStr">
        <is>
          <t>No. 85</t>
        </is>
      </c>
      <c r="C88" s="28" t="inlineStr">
        <is>
          <t>原則 6, 原則 12</t>
        </is>
      </c>
      <c r="D88" s="29" t="inlineStr">
        <is>
          <t>Do not make low tech mistake. Item 50. Which may not be recovered.預先驗屍。不去做會如何，心理難過,,後悔,會受實質處罰</t>
        </is>
      </c>
      <c r="E88" s="30" t="inlineStr">
        <is>
          <t>Avoid low-tech, careless mistakes that may be irreversible. Perform pre-mortem analysis: ask what the consequences are if we fail, and evaluate the real-world impact to prevent regret. (Related to Item 50)</t>
        </is>
      </c>
      <c r="F88" s="31" t="inlineStr">
        <is>
          <t>嚴防那些無法挽回的低級技術性錯誤。開展預前驗屍（Pre-mortem）：思考如果這件事搞砸了會怎樣？不去做會帶來什麼實質處罰或後悔？提前築好防線。</t>
        </is>
      </c>
      <c r="G88" s="32" t="inlineStr">
        <is>
          <t>千萬莫犯救袂轉來的低級技術錯誤。代誌先做「預前驗屍」：想看覓若無去做抑是弄破鼎會按怎？心內敢會艱苦、反悔，抑是受著實質處罰？提早共防線築予勇。（參照第 50 項）</t>
        </is>
      </c>
      <c r="H88" s="33" t="inlineStr"/>
      <c r="I88" s="29" t="inlineStr"/>
      <c r="J88" s="34" t="inlineStr"/>
      <c r="K88" s="35" t="inlineStr"/>
    </row>
    <row r="89" ht="24" customHeight="1">
      <c r="A89" s="36" t="inlineStr">
        <is>
          <t>Slide 2</t>
        </is>
      </c>
      <c r="B89" s="37" t="inlineStr">
        <is>
          <t>No. 86</t>
        </is>
      </c>
      <c r="C89" s="38" t="inlineStr">
        <is>
          <t>原則 6, 原則 16</t>
        </is>
      </c>
      <c r="D89" s="39" t="inlineStr">
        <is>
          <t>Your report is your product / brand. ( check your logic, rephrase, number, paragraph order, plot, spelling, and plot is blur or not? Hyperlink was lost? Watch out what you write and say either in public or public.</t>
        </is>
      </c>
      <c r="E89" s="40" t="inlineStr">
        <is>
          <t>Treat your reports and presentations as your personal product and brand. Always check the logic, wording, numbers, paragraph structure, charts (ensuring they aren't blurry), spelling, and links. Be highly mindful of what you say and write in both public and private forums.</t>
        </is>
      </c>
      <c r="F89" s="41" t="inlineStr">
        <is>
          <t>你的報告與簡報就是你的個人產品與招牌。送出前務必反覆檢查：邏輯是否通順、文字表達、數據對齊、段落順序、圖表解析度（是否模糊）以及超連結是否失效。無論在公開場合還是私下溝通，都要對自己的言論高度負責。</t>
        </is>
      </c>
      <c r="G89" s="42" t="inlineStr">
        <is>
          <t>你的報告就是你的產品佮個人招牌。送出進前一定愛重覆巡：邏輯敢有通、遣詞用字、數字、段落順序、拼字、圖表敢有霧去、超連結敢有失效。無論佇公開抑是私底下，講話寫字攏愛高度謹慎。</t>
        </is>
      </c>
      <c r="H89" s="43" t="inlineStr"/>
      <c r="I89" s="39" t="inlineStr"/>
      <c r="J89" s="44" t="inlineStr"/>
      <c r="K89" s="45" t="inlineStr"/>
    </row>
    <row r="90" ht="24" customHeight="1">
      <c r="A90" s="26" t="inlineStr">
        <is>
          <t>Slide 2</t>
        </is>
      </c>
      <c r="B90" s="27" t="inlineStr">
        <is>
          <t>No. 87</t>
        </is>
      </c>
      <c r="C90" s="28" t="inlineStr">
        <is>
          <t>原則 18</t>
        </is>
      </c>
      <c r="D90" s="29" t="inlineStr">
        <is>
          <t>Try to apologize for your mistake and that should be no excuse to make it happen but sometimes people do the stupid things always. Item 81.</t>
        </is>
      </c>
      <c r="E90" s="30" t="inlineStr">
        <is>
          <t>Acknowledge your mistakes and apologize sincerely without excuses. Accept that human errors happen, and focus on corrective actions. (Related to Item 81)</t>
        </is>
      </c>
      <c r="F90" s="31" t="inlineStr">
        <is>
          <t>犯錯時誠實道歉，不找藉口。人非聖賢孰能無過，關鍵在於誠實面對並立即採取補救措施。</t>
        </is>
      </c>
      <c r="G90" s="32" t="inlineStr">
        <is>
          <t>做毋著代誌愛老實會失禮，莫揣藉口。人難免一時糊塗做戇代誌，上要緊是誠懇認錯、趕緊設法補救。（參照第 81 項）</t>
        </is>
      </c>
      <c r="H90" s="33" t="inlineStr"/>
      <c r="I90" s="29" t="inlineStr"/>
      <c r="J90" s="34" t="inlineStr"/>
      <c r="K90" s="35" t="inlineStr"/>
    </row>
    <row r="91" ht="24" customHeight="1">
      <c r="A91" s="36" t="inlineStr">
        <is>
          <t>Slide 2</t>
        </is>
      </c>
      <c r="B91" s="37" t="inlineStr">
        <is>
          <t>No. 88</t>
        </is>
      </c>
      <c r="C91" s="38" t="inlineStr">
        <is>
          <t>原則 13</t>
        </is>
      </c>
      <c r="D91" s="39" t="inlineStr">
        <is>
          <t>Do not correct your colleague's fault or mistakes unless they ask or that is necessary or had already made already impact on you and try to take those cases as a lesson and record it just make sure you won’t make the same mistake. Item234</t>
        </is>
      </c>
      <c r="E91" s="40" t="inlineStr">
        <is>
          <t>Avoid correcting your colleagues' mistakes unless they ask for your help, or it directly impacts your deliverables. Treat their slip-ups as learning opportunities and document them privately to ensure you never make the same mistakes. (Related to Item 234)</t>
        </is>
      </c>
      <c r="F91" s="41" t="inlineStr">
        <is>
          <t>除非同事主動要求幫忙，或該錯誤已實質影響到你的工作，否則不要好為人師去糾正別人。將這些案例當作前車之鑑記錄下來，確保自己不會犯同樣的錯。</t>
        </is>
      </c>
      <c r="G91" s="42" t="inlineStr">
        <is>
          <t>若毋是同仁主動請教，抑是代誌已經拖累著你，莫好為人師四界糾正人。共別人的破綻當做鏡子照家己，暗自筆記，交代家己千祈莫犯仝款的錯。（參照第 234 項）</t>
        </is>
      </c>
      <c r="H91" s="43" t="inlineStr"/>
      <c r="I91" s="39" t="inlineStr"/>
      <c r="J91" s="44" t="inlineStr"/>
      <c r="K91" s="45" t="inlineStr"/>
    </row>
    <row r="92" ht="24" customHeight="1">
      <c r="A92" s="26" t="inlineStr">
        <is>
          <t>Slide 2</t>
        </is>
      </c>
      <c r="B92" s="27" t="inlineStr">
        <is>
          <t>No. 89</t>
        </is>
      </c>
      <c r="C92" s="28" t="inlineStr">
        <is>
          <t>原則 12</t>
        </is>
      </c>
      <c r="D92" s="29" t="inlineStr">
        <is>
          <t>Try to set up firewall to protect yourself just in case your colleague make a mistake and put you on the danger. Documentation it. EX, CCB, mail collection, meeting minutes.</t>
        </is>
      </c>
      <c r="E92" s="30" t="inlineStr">
        <is>
          <t>Build defensive "firewalls" to protect yourself from others' mistakes. Document everything carefully (e.g., archiving emails, saving meeting minutes, and obtaining CCB approvals).</t>
        </is>
      </c>
      <c r="F92" s="31" t="inlineStr">
        <is>
          <t>建立防衛性「防火牆」，避免同事犯錯時波及到你。落實工作留痕與文件化（例如：保存郵件備份、詳細的會議記錄、CCB 變更審查審核記錄）。</t>
        </is>
      </c>
      <c r="G92" s="32" t="inlineStr">
        <is>
          <t>做代誌愛設好防火牆自保，提防同仁出差錯拖累著你。凡事留底做紀錄（親像 CCB 審查、電子信收存、會議紀錄），有憑有據才企得穩。</t>
        </is>
      </c>
      <c r="H92" s="33" t="inlineStr"/>
      <c r="I92" s="29" t="inlineStr"/>
      <c r="J92" s="34" t="inlineStr"/>
      <c r="K92" s="35" t="inlineStr"/>
    </row>
    <row r="93" ht="24" customHeight="1">
      <c r="A93" s="36" t="inlineStr">
        <is>
          <t>Slide 2</t>
        </is>
      </c>
      <c r="B93" s="37" t="inlineStr">
        <is>
          <t>No. 90</t>
        </is>
      </c>
      <c r="C93" s="38" t="inlineStr">
        <is>
          <t>原則 16, 原則 17</t>
        </is>
      </c>
      <c r="D93" s="39" t="inlineStr">
        <is>
          <t>Make yourself irreplaceable. Build up a strong skill, experience and document it like resume / Linkedin. Make sure those skills are welcomed with time. If that is the case, learn by yourself. To be aligned with latest industrial status. ITEM129.</t>
        </is>
      </c>
      <c r="E93" s="40" t="inlineStr">
        <is>
          <t>Make yourself irreplaceable by building deep, specialized skills and documenting your achievements on your resume and LinkedIn. Focus on learning future-proof skills independently to stay aligned with the latest industry trends. (Related to Item 129)</t>
        </is>
      </c>
      <c r="F93" s="41" t="inlineStr">
        <is>
          <t>透過建立深厚的專業技能與實戰經驗，讓自己無可替代。定期更新簡歷與 LinkedIn，確保自己的技能組合符合市場未來趨勢。保持主動自學，與業界最新技術和動態對齊。</t>
        </is>
      </c>
      <c r="G93" s="42" t="inlineStr">
        <is>
          <t>練出深厚功夫佮實戰經驗，予家己無人會使取代。定定整理履歷佮 LinkedIn，顧好家己的行情。愛主動自學，隨時踅佇業界技術上頭前。（參照第 129 項）</t>
        </is>
      </c>
      <c r="H93" s="43" t="inlineStr"/>
      <c r="I93" s="39" t="inlineStr"/>
      <c r="J93" s="44" t="inlineStr"/>
      <c r="K93" s="45" t="inlineStr"/>
    </row>
    <row r="94" ht="24" customHeight="1">
      <c r="A94" s="26" t="inlineStr">
        <is>
          <t>Slide 2</t>
        </is>
      </c>
      <c r="B94" s="27" t="inlineStr">
        <is>
          <t>No. 91</t>
        </is>
      </c>
      <c r="C94" s="28" t="inlineStr">
        <is>
          <t>原則 10, 原則 18</t>
        </is>
      </c>
      <c r="D94" s="29" t="inlineStr">
        <is>
          <t>Go to the detail per stage in one project. Try to learn and ask questions without embarrassment in public . This may be only way you grow up and leave comfort zone. Item 100. From competency point of view or mentality.</t>
        </is>
      </c>
      <c r="E94" s="30" t="inlineStr">
        <is>
          <t>Dive into the details of each project phase. Do not hesitate to ask questions in public without fear of embarrassment; this is the most effective way to step out of your comfort zone and grow competency and mindset. (Related to Item 100)</t>
        </is>
      </c>
      <c r="F94" s="31" t="inlineStr">
        <is>
          <t>深入了解專案每個階段的細節。不要怕丟臉，在公開會議中勇於提問；這是跳出舒適圈、磨練專業能力與強健心態的必經之路。</t>
        </is>
      </c>
      <c r="G94" s="32" t="inlineStr">
        <is>
          <t>專案每一个階段的眉角攏愛摸透透。公開開會莫驚見笑、大膽請教，這是踏出舒適圈、磨練真功夫佮勇健心志的必經路途。（參照第 100 項）</t>
        </is>
      </c>
      <c r="H94" s="33" t="inlineStr"/>
      <c r="I94" s="29" t="inlineStr"/>
      <c r="J94" s="34" t="inlineStr"/>
      <c r="K94" s="35" t="inlineStr"/>
    </row>
    <row r="95" ht="24" customHeight="1">
      <c r="A95" s="36" t="inlineStr">
        <is>
          <t>Slide 2</t>
        </is>
      </c>
      <c r="B95" s="37" t="inlineStr">
        <is>
          <t>No. 92</t>
        </is>
      </c>
      <c r="C95" s="38" t="inlineStr">
        <is>
          <t>原則 8, 原則 18</t>
        </is>
      </c>
      <c r="D95" s="39" t="inlineStr">
        <is>
          <t>Focus and Don't get distracted on non-priorities. Ask yourself Why do you do that? Item 14.</t>
        </is>
      </c>
      <c r="E95" s="40" t="inlineStr">
        <is>
          <t>Maintain focus and avoid getting distracted by low-priority tasks. Constantly ask yourself: "Why am I doing this?" (Related to Item 14)</t>
        </is>
      </c>
      <c r="F95" s="41" t="inlineStr">
        <is>
          <t>保持專注，不被非核心的雜務分心。時常拷問自己：「我做這件事的目的是什麼？它能帶來核心價值嗎？」</t>
        </is>
      </c>
      <c r="G95" s="42" t="inlineStr">
        <is>
          <t>專注本業，莫予無要緊的雜務分神散心。定定問家己：「我做這項代誌是為著啥物？敢有核心價值？」（參照第 14 項）</t>
        </is>
      </c>
      <c r="H95" s="43" t="inlineStr"/>
      <c r="I95" s="39" t="inlineStr"/>
      <c r="J95" s="44" t="inlineStr"/>
      <c r="K95" s="45" t="inlineStr"/>
    </row>
    <row r="96" ht="24" customHeight="1">
      <c r="A96" s="26" t="inlineStr">
        <is>
          <t>Slide 2</t>
        </is>
      </c>
      <c r="B96" s="27" t="inlineStr">
        <is>
          <t>No. 93</t>
        </is>
      </c>
      <c r="C96" s="28" t="inlineStr">
        <is>
          <t>原則 5</t>
        </is>
      </c>
      <c r="D96" s="29" t="inlineStr">
        <is>
          <t>Explain your data by a physical eye. And use scientific thinking. Item 40.</t>
        </is>
      </c>
      <c r="E96" s="30" t="inlineStr">
        <is>
          <t>Interpret your data through the lens of physical laws and scientific thinking rather than relying on mathematical calculations alone. (Related to Item 40)</t>
        </is>
      </c>
      <c r="F96" s="31" t="inlineStr">
        <is>
          <t>從物理本質出發來原理解釋數據，並運用科學思維進行邏輯推導，而非盲目信奉純數學計算。</t>
        </is>
      </c>
      <c r="G96" s="32" t="inlineStr">
        <is>
          <t>用物理本質的眼光來看待數據，靠科學思維推敲理路，莫干焦死守冷吱吱的數字計算。（參照第 40 項）</t>
        </is>
      </c>
      <c r="H96" s="33" t="inlineStr"/>
      <c r="I96" s="29" t="inlineStr"/>
      <c r="J96" s="34" t="inlineStr"/>
      <c r="K96" s="35" t="inlineStr"/>
    </row>
    <row r="97" ht="24" customHeight="1">
      <c r="A97" s="36" t="inlineStr">
        <is>
          <t>Slide 2</t>
        </is>
      </c>
      <c r="B97" s="37" t="inlineStr">
        <is>
          <t>No. 94</t>
        </is>
      </c>
      <c r="C97" s="38" t="inlineStr">
        <is>
          <t>原則 6, 原則 8</t>
        </is>
      </c>
      <c r="D97" s="39" t="inlineStr">
        <is>
          <t>When seeing the issues, list down potential issue, categorize, remove / link, prioritize them. Ask yourself what’s priorities today?</t>
        </is>
      </c>
      <c r="E97" s="40" t="inlineStr">
        <is>
          <t>When issues arise, list potential problems, categorize them, identify links, filter out noise, and prioritize. Always ask: "What is my top priority today?"</t>
        </is>
      </c>
      <c r="F97" s="41" t="inlineStr">
        <is>
          <t>面對問題時，先列出所有潛在疑點，進行分類、過濾與關聯分析，最後排定優先順序。每天早上問自己：「今天最重要的優先任務是什麼？」</t>
        </is>
      </c>
      <c r="G97" s="42" t="inlineStr">
        <is>
          <t>拄著問題，先共所有疑點列出來，歸類、篩選、理出脈絡，排定先後順序。逐工透早問家己：「今仔日上要緊的頭路是佗一項？」</t>
        </is>
      </c>
      <c r="H97" s="43" t="inlineStr"/>
      <c r="I97" s="39" t="inlineStr"/>
      <c r="J97" s="44" t="inlineStr"/>
      <c r="K97" s="45" t="inlineStr"/>
    </row>
    <row r="98" ht="24" customHeight="1">
      <c r="A98" s="26" t="inlineStr">
        <is>
          <t>Slide 2</t>
        </is>
      </c>
      <c r="B98" s="27" t="inlineStr">
        <is>
          <t>No. 95</t>
        </is>
      </c>
      <c r="C98" s="28" t="inlineStr">
        <is>
          <t>原則 4</t>
        </is>
      </c>
      <c r="D98" s="29" t="inlineStr">
        <is>
          <t>Leverage previous notes for works or others. So, you need to find time to summarize your works for future. Item 38. Do a good record for review.復盤.</t>
        </is>
      </c>
      <c r="E98" s="30" t="inlineStr">
        <is>
          <t>Leverage past notes and documentation to accelerate new tasks. Block out regular time to summarize project outcomes and conduct thorough retrospectives (refer to Item 38) for future knowledge reuse.</t>
        </is>
      </c>
      <c r="F98" s="31" t="inlineStr">
        <is>
          <t>善用過往的工作筆記與知識庫來賦能當前任務。養成定時整理與總結工作成果的習慣，妥善留存紀錄以利日後覆盤與經驗傳承（參見第 38 項）。</t>
        </is>
      </c>
      <c r="G98" s="32" t="inlineStr">
        <is>
          <t>共過去的筆記提來參考，做代誌省時間。平素著愛留時間整理成果、定定覆盤，資料收囥好勢，日後欲用才省氣力。（參照第 38 項）</t>
        </is>
      </c>
      <c r="H98" s="33" t="inlineStr"/>
      <c r="I98" s="29" t="inlineStr"/>
      <c r="J98" s="34" t="inlineStr"/>
      <c r="K98" s="35" t="inlineStr"/>
    </row>
    <row r="99" ht="24" customHeight="1">
      <c r="A99" s="36" t="inlineStr">
        <is>
          <t>Slide 2</t>
        </is>
      </c>
      <c r="B99" s="37" t="inlineStr">
        <is>
          <t>No. 96</t>
        </is>
      </c>
      <c r="C99" s="38" t="inlineStr">
        <is>
          <t>原則 1, 原則 18</t>
        </is>
      </c>
      <c r="D99" s="39" t="inlineStr">
        <is>
          <t>To estimate the time and effort per task. You will need some time and experience to have an accurate number. #32. Don’t be like reboot and try to enjoy it.</t>
        </is>
      </c>
      <c r="E99" s="40" t="inlineStr">
        <is>
          <t>Strive to estimate the time and effort required for each task accurately. Developing this skill takes time and experience; avoid running on autopilot like a machine, and try to enjoy the process. (Related to Item 32)</t>
        </is>
      </c>
      <c r="F99" s="41" t="inlineStr">
        <is>
          <t>努力精確評估每項任務所需的時間與精力。這項能力的養成需要時間與經驗累積；不要像機器人一樣盲目重置運作，學會在工作中尋找掌控感與樂趣。</t>
        </is>
      </c>
      <c r="G99" s="42" t="inlineStr">
        <is>
          <t>每項代誌愛開偌濟時間氣力，愛學會曉準確評估。這需要時間佮經驗累積；莫像機器人干焦會曉直直衝，愛學佇工課內底體會樂趣佮節奏。（參照第 32 項）</t>
        </is>
      </c>
      <c r="H99" s="43" t="inlineStr"/>
      <c r="I99" s="39" t="inlineStr"/>
      <c r="J99" s="44" t="inlineStr"/>
      <c r="K99" s="45" t="inlineStr"/>
    </row>
    <row r="100" ht="24" customHeight="1">
      <c r="A100" s="26" t="inlineStr">
        <is>
          <t>Slide 2</t>
        </is>
      </c>
      <c r="B100" s="27" t="inlineStr">
        <is>
          <t>No. 97</t>
        </is>
      </c>
      <c r="C100" s="28" t="inlineStr">
        <is>
          <t>原則 10, 原則 13</t>
        </is>
      </c>
      <c r="D100" s="29" t="inlineStr">
        <is>
          <t>Not give too many comments or suggestions to your colleagues in one time. Item 82. Even don’t suggest spontaneously. Item 88.</t>
        </is>
      </c>
      <c r="E100" s="30" t="inlineStr">
        <is>
          <t>Avoid overwhelming colleagues with too many comments or suggestions at once. Do not volunteer advice spontaneously unless asked. (Related to Items 82 and 88)</t>
        </is>
      </c>
      <c r="F100" s="31" t="inlineStr">
        <is>
          <t>不要一次給同事提太多意見或建議。除非對方主動詢問，否則不要隨意提供未經請求的建議。</t>
        </is>
      </c>
      <c r="G100" s="32" t="inlineStr">
        <is>
          <t>莫一擺向同仁提傷濟意見抑是建議。若無人請教，就莫自作主張四界指指點點。（參照第 82 佮 88 項）</t>
        </is>
      </c>
      <c r="H100" s="33" t="inlineStr"/>
      <c r="I100" s="29" t="inlineStr"/>
      <c r="J100" s="34" t="inlineStr"/>
      <c r="K100" s="35" t="inlineStr"/>
    </row>
    <row r="101" ht="24" customHeight="1">
      <c r="A101" s="36" t="inlineStr">
        <is>
          <t>Slide 2</t>
        </is>
      </c>
      <c r="B101" s="37" t="inlineStr">
        <is>
          <t>No. 98</t>
        </is>
      </c>
      <c r="C101" s="38" t="inlineStr">
        <is>
          <t>原則 14</t>
        </is>
      </c>
      <c r="D101" s="39" t="inlineStr">
        <is>
          <t>You may not be that important than you think. The world is spinning still. Put your ego aside.</t>
        </is>
      </c>
      <c r="E101" s="40" t="inlineStr">
        <is>
          <t>Remember that you may not be as indispensable as you think. The world keeps spinning without you; put your ego aside and stay humble.</t>
        </is>
      </c>
      <c r="F101" s="41" t="inlineStr">
        <is>
          <t>你可能沒有自己想像的那麼無可替代。地球少了誰都一樣轉動；放下不必要的自尊心與包袱，踏實前行。</t>
        </is>
      </c>
      <c r="G101" s="42" t="inlineStr">
        <is>
          <t>你無家己想的遐爾仔無你袂使。地球少啥人嘛是照常咧踅；共無謂的面子囥一邊，跤踏實地好好仔行。</t>
        </is>
      </c>
      <c r="H101" s="43" t="inlineStr"/>
      <c r="I101" s="39" t="inlineStr"/>
      <c r="J101" s="44" t="inlineStr"/>
      <c r="K101" s="45" t="inlineStr"/>
    </row>
    <row r="102" ht="24" customHeight="1">
      <c r="A102" s="26" t="inlineStr">
        <is>
          <t>Slide 3</t>
        </is>
      </c>
      <c r="B102" s="27" t="inlineStr">
        <is>
          <t>No. 99</t>
        </is>
      </c>
      <c r="C102" s="28" t="inlineStr">
        <is>
          <t>原則 5</t>
        </is>
      </c>
      <c r="D102" s="29" t="inlineStr">
        <is>
          <t>Try to learn from past experience 復盤, from others, they are not free. Or read books and learn from their experience. And trust science and mathematics (statistics) ( data talk), facts. Item 93. List down few books as reference, just in case you need them for answers in some day.</t>
        </is>
      </c>
      <c r="E102" s="30" t="inlineStr">
        <is>
          <t>Systematically learn from retrospectives, industry peers, and foundational books rather than relying solely on trial and error. Base decisions on data, mathematical statistics, and empirical facts (refer to Item 93). Curate a reference reading list to draw upon when tackling complex challenges.</t>
        </is>
      </c>
      <c r="F102" s="31" t="inlineStr">
        <is>
          <t>從過往經驗（覆盤）、他人智慧與經典書籍中吸收養分。堅持以數據說話，信賴科學與統計客觀事實（參見第 93 項）。隨時維護一份參考書單，以備面臨決策挑戰時查閱尋求解答。</t>
        </is>
      </c>
      <c r="G102" s="32" t="inlineStr">
        <is>
          <t>對過去經驗覆盤、別人的智慧佮好冊內底吸取精華。做決策著愛看數據、講事實，信賴科學佮統計（參照第 93 項）。隨時手邊備一份好冊清單，拄著大代誌隨時有經典指點明路。</t>
        </is>
      </c>
      <c r="H102" s="33" t="inlineStr"/>
      <c r="I102" s="29" t="inlineStr"/>
      <c r="J102" s="34" t="inlineStr"/>
      <c r="K102" s="35" t="inlineStr"/>
    </row>
    <row r="103" ht="24" customHeight="1">
      <c r="A103" s="36" t="inlineStr">
        <is>
          <t>Slide 3</t>
        </is>
      </c>
      <c r="B103" s="37" t="inlineStr">
        <is>
          <t>No. 100</t>
        </is>
      </c>
      <c r="C103" s="38" t="inlineStr">
        <is>
          <t>原則 7, 原則 16</t>
        </is>
      </c>
      <c r="D103" s="39" t="inlineStr">
        <is>
          <t>Find out when or what you want to procrastinate. Eat the frog. Don’t hide in your comfort zone. Jump into learning zone. Really learn new things and have outputs to accumulate achievement. And you can teach others.</t>
        </is>
      </c>
      <c r="E103" s="40" t="inlineStr">
        <is>
          <t>Identify your procrastination triggers and practice "eating the frog"—tackling the hardest task first. Step out of your comfort zone into the learning zone, producing tangible deliverables to build accomplishments and share knowledge with others.</t>
        </is>
      </c>
      <c r="F103" s="41" t="inlineStr">
        <is>
          <t>釐清引發拖延的誘因，實踐「先吃掉那隻青蛙」原則，優先處理最棘手的任務。勇於跨出舒適圈進入學習區，透過產出實質成果累積成就感，並藉由傳授他人深化自身理解。</t>
        </is>
      </c>
      <c r="G103" s="42" t="inlineStr">
        <is>
          <t>摸清家己想欲拖沙的根頭，照「先共上大隻的水雞（青蛙）食落去」的規矩，先治上歹落手、上棘手的工課。莫匿佇好過日子的舒適圈，跳入去學習區磨練新功夫，做有結尾的成品來累積成就感，閣共經驗傳授予別人、相牽成鬥相共。</t>
        </is>
      </c>
      <c r="H103" s="43" t="inlineStr"/>
      <c r="I103" s="39" t="inlineStr"/>
      <c r="J103" s="44" t="inlineStr"/>
      <c r="K103" s="45" t="inlineStr"/>
    </row>
    <row r="104" ht="24" customHeight="1">
      <c r="A104" s="26" t="inlineStr">
        <is>
          <t>Slide 3</t>
        </is>
      </c>
      <c r="B104" s="27" t="inlineStr">
        <is>
          <t>No. 101</t>
        </is>
      </c>
      <c r="C104" s="28" t="inlineStr">
        <is>
          <t>原則 4</t>
        </is>
      </c>
      <c r="D104" s="29" t="inlineStr">
        <is>
          <t>Try to write down procedure ( detail) as a good habit. Some day you may need it or reuse it in the future. Item38,95. Way of working tuning.</t>
        </is>
      </c>
      <c r="E104" s="30" t="inlineStr">
        <is>
          <t>Develop the habit of documenting detailed procedures and workflows. This will allow you to reuse and continuously refine your way of working (WoW) in the future. (Related to Items 38 and 95)</t>
        </is>
      </c>
      <c r="F104" s="31" t="inlineStr">
        <is>
          <t>養成將工作細部流程與步驟記錄下來的習慣。日後再次遇到時可直接調用並持續優化工作方法（WoW）。</t>
        </is>
      </c>
      <c r="G104" s="32" t="inlineStr">
        <is>
          <t>培養共工課的詳細手續佮步數逐項記落來的習慣。後擺閣拄著就會使隨提來用，閣會當持續調整優化家己的做工手路（WoW）。（參照第 38 佮 95 項）</t>
        </is>
      </c>
      <c r="H104" s="33" t="inlineStr"/>
      <c r="I104" s="29" t="inlineStr"/>
      <c r="J104" s="34" t="inlineStr"/>
      <c r="K104" s="35" t="inlineStr"/>
    </row>
    <row r="105" ht="24" customHeight="1">
      <c r="A105" s="36" t="inlineStr">
        <is>
          <t>Slide 3</t>
        </is>
      </c>
      <c r="B105" s="37" t="inlineStr">
        <is>
          <t>No. 102</t>
        </is>
      </c>
      <c r="C105" s="38" t="inlineStr">
        <is>
          <t>原則 9</t>
        </is>
      </c>
      <c r="D105" s="39" t="inlineStr">
        <is>
          <t>“I will do my best.” Are you happy / satisfied with that?” “ Any comments or concern?” “ Thanks for joining the review / meeting and contribution and feedback.” “ Any / concerns to share? Using Positive words and embraces all possibilities. We can do better.</t>
        </is>
      </c>
      <c r="E105" s="40" t="inlineStr">
        <is>
          <t>Use constructive and positive phrasing, such as: "I will do my best," "Are you satisfied with this outcome?" "Do you have any comments or concerns?" and "Thank you for joining the review and for your valuable contribution." Embrace feedback and believe we can always improve.</t>
        </is>
      </c>
      <c r="F105" s="41" t="inlineStr">
        <is>
          <t>使用積極正面的職場對話術，例如：「我會全力以赴」、「您對這個結果滿意嗎？」、「是否有任何建議或疑慮？」以及「感謝參與審查會議，謝謝您的貢獻與反饋」。擁抱所有反饋，相信事情總能做得更好。</t>
        </is>
      </c>
      <c r="G105" s="42" t="inlineStr">
        <is>
          <t>開喙愛用正面合宜的職場好話，親像：「我會拍拚盡全力」、「逐家對這个成果敢有滿意？」、「敢有啥物意見抑是掛心的所在？」抑是「多謝來開審查會，感謝逐家貢獻意見」。心胸開闊接納回饋，代誌一定會當做得閣較好勢。</t>
        </is>
      </c>
      <c r="H105" s="43" t="inlineStr"/>
      <c r="I105" s="39" t="inlineStr"/>
      <c r="J105" s="44" t="inlineStr"/>
      <c r="K105" s="45" t="inlineStr"/>
    </row>
    <row r="106" ht="24" customHeight="1">
      <c r="A106" s="26" t="inlineStr">
        <is>
          <t>Slide 3</t>
        </is>
      </c>
      <c r="B106" s="27" t="inlineStr">
        <is>
          <t>No. 103</t>
        </is>
      </c>
      <c r="C106" s="28" t="inlineStr">
        <is>
          <t>原則 18, 原則 19</t>
        </is>
      </c>
      <c r="D106" s="29" t="inlineStr">
        <is>
          <t>What boost you to finish this? And why? ( fame / achievement /life pressure / economic / passion / survival / reality. Item 46. Or block you? Motivation?</t>
        </is>
      </c>
      <c r="E106" s="30" t="inlineStr">
        <is>
          <t>Analyze what motivates or blocks you in finishing a task (e.g., recognition, achievement, pressure, financial reward, passion, survival, or simple reality). Understanding your underlying motivation is key. (Related to Item 46)</t>
        </is>
      </c>
      <c r="F106" s="31" t="inlineStr">
        <is>
          <t>分析推動你完成任務或阻礙你前行的動力是什麼？（是成就感、生存壓力、經濟因素、熱情還是現實的職責？）。看清核心動機，有助於調整自身能量與狀態。</t>
        </is>
      </c>
      <c r="G106" s="32" t="inlineStr">
        <is>
          <t>想看覓到底啥物是共你捒向前衝、抑是共你閘牢的動力？（是愛名聲、成就感、生活壓力、錢項、熱情、生存抑是現實飯碗？）。看清骨底的核心動機，才知影按怎調整家己的氣力佮心境。（參照第 46 項）</t>
        </is>
      </c>
      <c r="H106" s="33" t="inlineStr"/>
      <c r="I106" s="29" t="inlineStr"/>
      <c r="J106" s="34" t="inlineStr"/>
      <c r="K106" s="35" t="inlineStr"/>
    </row>
    <row r="107" ht="24" customHeight="1">
      <c r="A107" s="36" t="inlineStr">
        <is>
          <t>Slide 3</t>
        </is>
      </c>
      <c r="B107" s="37" t="inlineStr">
        <is>
          <t>No. 104</t>
        </is>
      </c>
      <c r="C107" s="38" t="inlineStr">
        <is>
          <t>原則 9</t>
        </is>
      </c>
      <c r="D107" s="39" t="inlineStr">
        <is>
          <t>Don't say anything above your level/position. Talk decently in public, also dress. You need to practice then are not afraid of embarrassment in public.</t>
        </is>
      </c>
      <c r="E107" s="40" t="inlineStr">
        <is>
          <t>Avoid making statements that exceed your organizational authority or level. Speak and dress decently in public. Practice public speaking to build confidence and overcome the fear of embarrassment.</t>
        </is>
      </c>
      <c r="F107" s="41" t="inlineStr">
        <is>
          <t>說話分寸要符合自己的職級與授權範圍，切忌越權表態。在公開場合言談得體、穿著得體。平時多練習公開表達，直到能從容應對、不怕丟臉。</t>
        </is>
      </c>
      <c r="G107" s="42" t="inlineStr">
        <is>
          <t>講話的分寸愛顧家己的職位佮授權範圍，千萬莫越權僭位亂表態。佇眾人面前言談、穿插攏愛大器得體。平時著愛勤練習公開講話，練到大方從容、袂驚見笑。</t>
        </is>
      </c>
      <c r="H107" s="43" t="inlineStr"/>
      <c r="I107" s="39" t="inlineStr"/>
      <c r="J107" s="44" t="inlineStr"/>
      <c r="K107" s="45" t="inlineStr"/>
    </row>
    <row r="108" ht="24" customHeight="1">
      <c r="A108" s="26" t="inlineStr">
        <is>
          <t>Slide 3</t>
        </is>
      </c>
      <c r="B108" s="27" t="inlineStr">
        <is>
          <t>No. 105</t>
        </is>
      </c>
      <c r="C108" s="28" t="inlineStr">
        <is>
          <t>原則 13</t>
        </is>
      </c>
      <c r="D108" s="29" t="inlineStr">
        <is>
          <t>Some people may use his/her power/ authority to mislead others, intentionally or unintentionally. When bosses cannot meet customers' requirement. Quality, market pressure.</t>
        </is>
      </c>
      <c r="E108" s="30" t="inlineStr">
        <is>
          <t>Be aware that people may use their power or authority to mislead others, intentionally or unintentionally, especially when facing intense pressure regarding customer requirements, quality issues, or market deadlines.</t>
        </is>
      </c>
      <c r="F108" s="31" t="inlineStr">
        <is>
          <t>保持警惕，有些人會刻意或無意間利用權威來誤導他人，特別是當面臨無法滿足客戶需求、品質危機或市場時效壓力時。</t>
        </is>
      </c>
      <c r="G108" s="32" t="inlineStr">
        <is>
          <t>耳目愛利、心神愛醒，有寡人會故意抑是無意中利用官威權力共人點鬼火、牽引去偏路，特別是當頭家拄著人客物件交袂出、品質破孔抑是市場催迫的時陣。</t>
        </is>
      </c>
      <c r="H108" s="33" t="inlineStr"/>
      <c r="I108" s="29" t="inlineStr"/>
      <c r="J108" s="34" t="inlineStr"/>
      <c r="K108" s="35" t="inlineStr"/>
    </row>
    <row r="109" ht="24" customHeight="1">
      <c r="A109" s="36" t="inlineStr">
        <is>
          <t>Slide 3</t>
        </is>
      </c>
      <c r="B109" s="37" t="inlineStr">
        <is>
          <t>No. 106</t>
        </is>
      </c>
      <c r="C109" s="38" t="inlineStr">
        <is>
          <t>原則 4, 原則 14</t>
        </is>
      </c>
      <c r="D109" s="39" t="inlineStr">
        <is>
          <t>Don’t criticize. Check if you have this similar mistakes or overlook. Try to learn or make it faster or easier. Write it down and you may forget. And review it regularly.</t>
        </is>
      </c>
      <c r="E109" s="40" t="inlineStr">
        <is>
          <t>Avoid criticizing others. Instead, reflect on whether you have made similar mistakes or oversights. Focus on learning how to complete tasks faster and easier. Write down your insights immediately to prevent forgetting them, and review them regularly.</t>
        </is>
      </c>
      <c r="F109" s="41" t="inlineStr">
        <is>
          <t>不要急著批評別人。先反思自己是否也犯過類似錯誤或有疏漏。將心力放在如何優化工作，使其更快速、更容易。隨手記錄心得，並定期複習。</t>
        </is>
      </c>
      <c r="G109" s="42" t="inlineStr">
        <is>
          <t>莫先急咧嫌人毛病、批評人。先照鏡看家己敢有做過仝款的差錯抑是脫箠。心神愛用佇按怎共工課磨予利、做得閣較緊閣較順手。隨手筆記記好勢，定定提轉來溫習。</t>
        </is>
      </c>
      <c r="H109" s="43" t="inlineStr"/>
      <c r="I109" s="39" t="inlineStr"/>
      <c r="J109" s="44" t="inlineStr"/>
      <c r="K109" s="45" t="inlineStr"/>
    </row>
    <row r="110" ht="24" customHeight="1">
      <c r="A110" s="26" t="inlineStr">
        <is>
          <t>Slide 3</t>
        </is>
      </c>
      <c r="B110" s="27" t="inlineStr">
        <is>
          <t>No. 107</t>
        </is>
      </c>
      <c r="C110" s="28" t="inlineStr">
        <is>
          <t>原則 11, 原則 13</t>
        </is>
      </c>
      <c r="D110" s="29" t="inlineStr">
        <is>
          <t>Leave someone’s question if they may waste your time without respect your expertise and comments, even you know the knowledge or answers. Item 114. They will kill your passion. Energy management.</t>
        </is>
      </c>
      <c r="E110" s="30" t="inlineStr">
        <is>
          <t>Politely disengage from questions that waste your time or fail to respect your expertise and feedback, even if you know the answers. Protect your passion and manage your energy wisely. (Related to Item 114)</t>
        </is>
      </c>
      <c r="F110" s="31" t="inlineStr">
        <is>
          <t>如果某些提問只是在浪費時間，且絲毫不尊重你的專業與反饋，即使你知道答案，也請選擇忽視或不回應。別讓他們消磨你的工作熱情，這是能量管理的關鍵。</t>
        </is>
      </c>
      <c r="G110" s="32" t="inlineStr">
        <is>
          <t>若有人問話干焦咧浪費光陰，閣一點仔都無看重你的專業佮意見，就算你心知肚明，嘛莫去應伊。千祈莫予這款人磨消你的熱情，這就是顧元氣、管體力的關鍵。（參照第 114 項）</t>
        </is>
      </c>
      <c r="H110" s="33" t="inlineStr"/>
      <c r="I110" s="29" t="inlineStr"/>
      <c r="J110" s="34" t="inlineStr"/>
      <c r="K110" s="35" t="inlineStr"/>
    </row>
    <row r="111" ht="24" customHeight="1">
      <c r="A111" s="36" t="inlineStr">
        <is>
          <t>Slide 3</t>
        </is>
      </c>
      <c r="B111" s="37" t="inlineStr">
        <is>
          <t>No. 108</t>
        </is>
      </c>
      <c r="C111" s="38" t="inlineStr">
        <is>
          <t>原則 12, 原則 14</t>
        </is>
      </c>
      <c r="D111" s="39" t="inlineStr">
        <is>
          <t>Remember to protect yourself ( interest) and keep your mouth shut. Not being some’s teacher without being asked. Item 88.</t>
        </is>
      </c>
      <c r="E111" s="40" t="inlineStr">
        <is>
          <t>Protect your personal interests and learn to keep your mouth shut. Avoid playing the teacher or giving unsolicited advice unless explicitly asked. (Related to Item 88)</t>
        </is>
      </c>
      <c r="F111" s="41" t="inlineStr">
        <is>
          <t>學會保護自身利益並適時保持沉默。別人在沒主動請教的情況下，不要好為人師去指點別人。</t>
        </is>
      </c>
      <c r="G111" s="42" t="inlineStr">
        <is>
          <t>著愛顧好家己的利害本分，喙合絚絚、恬恬就好。別人若無開喙來請教，千祈莫愛做先生、四界去指點人。（參照第 88 項）</t>
        </is>
      </c>
      <c r="H111" s="43" t="inlineStr"/>
      <c r="I111" s="39" t="inlineStr"/>
      <c r="J111" s="44" t="inlineStr"/>
      <c r="K111" s="45" t="inlineStr"/>
    </row>
    <row r="112" ht="24" customHeight="1">
      <c r="A112" s="26" t="inlineStr">
        <is>
          <t>Slide 3</t>
        </is>
      </c>
      <c r="B112" s="27" t="inlineStr">
        <is>
          <t>No. 109</t>
        </is>
      </c>
      <c r="C112" s="28" t="inlineStr">
        <is>
          <t>原則 9, 原則 14</t>
        </is>
      </c>
      <c r="D112" s="29" t="inlineStr">
        <is>
          <t>Open-minded to accept other’s comments / suggestions. Item 48.</t>
        </is>
      </c>
      <c r="E112" s="30" t="inlineStr">
        <is>
          <t>Maintain an open mind and be receptive to others' comments and suggestions. (Related to Item 48)</t>
        </is>
      </c>
      <c r="F112" s="31" t="inlineStr">
        <is>
          <t>保持開放胸懷，樂於接納他人的建議與意見。</t>
        </is>
      </c>
      <c r="G112" s="32" t="inlineStr">
        <is>
          <t>肚量愛闊、心胸放開，愛甘心樂意接納別人的建言佮指教。（參照第 48 項）</t>
        </is>
      </c>
      <c r="H112" s="33" t="inlineStr"/>
      <c r="I112" s="29" t="inlineStr"/>
      <c r="J112" s="34" t="inlineStr"/>
      <c r="K112" s="35" t="inlineStr"/>
    </row>
    <row r="113" ht="24" customHeight="1">
      <c r="A113" s="36" t="inlineStr">
        <is>
          <t>Slide 3</t>
        </is>
      </c>
      <c r="B113" s="37" t="inlineStr">
        <is>
          <t>No. 110</t>
        </is>
      </c>
      <c r="C113" s="38" t="inlineStr">
        <is>
          <t>原則 5, 原則 9</t>
        </is>
      </c>
      <c r="D113" s="39" t="inlineStr">
        <is>
          <t>Dare to disagree with solid evidence and good reasons. How to disagree? Item41. ( 10 ways to disagree.) argument with task, not personal. You have your opinion.</t>
        </is>
      </c>
      <c r="E113" s="40" t="inlineStr">
        <is>
          <t>Express disagreement confidently when backed by solid evidence and clear reasoning. Frame discussions around facts and task outcomes rather than personal dynamics (refer to Item 41) to foster constructive discourse.</t>
        </is>
      </c>
      <c r="F113" s="41" t="inlineStr">
        <is>
          <t>憑藉紮實的證據與充分理由勇於表達不同意見。掌握建設性對立的技巧（參見第 41 項），堅持對事不對人的原則，清晰展現個人專業見解。</t>
        </is>
      </c>
      <c r="G113" s="42" t="inlineStr">
        <is>
          <t>手底有夠硬的數據證據佮充實的道理，就愛敢講出無仝看法。辯道理「對事無對人」（掌握十種表達無仝意見的步數，參照第 41 項），講明講透，展出家己的專業見解。</t>
        </is>
      </c>
      <c r="H113" s="43" t="inlineStr"/>
      <c r="I113" s="39" t="inlineStr"/>
      <c r="J113" s="44" t="inlineStr"/>
      <c r="K113" s="45" t="inlineStr"/>
    </row>
    <row r="114" ht="24" customHeight="1">
      <c r="A114" s="26" t="inlineStr">
        <is>
          <t>Slide 3</t>
        </is>
      </c>
      <c r="B114" s="27" t="inlineStr">
        <is>
          <t>No. 111</t>
        </is>
      </c>
      <c r="C114" s="28" t="inlineStr">
        <is>
          <t>原則 7, 原則 17</t>
        </is>
      </c>
      <c r="D114" s="29" t="inlineStr">
        <is>
          <t>Do not stay in original / location for long and do nothing ( Although, waiting may be part of life.) Push yourself / project to next level/stage. Fast act, fast fail and correct it. Do some changes. ( learn some skill)</t>
        </is>
      </c>
      <c r="E114" s="30" t="inlineStr">
        <is>
          <t>Avoid remaining stagnant for too long without taking action (although waiting is sometimes necessary). Push yourself and your projects to the next stage. Act quickly, fail fast, correct immediately, and learn new skills to drive change.</t>
        </is>
      </c>
      <c r="F114" s="31" t="inlineStr">
        <is>
          <t>不要長期停留在原地毫無作為（雖然等待有時是必要的）。主動推動自己與專案邁向下個階段。快速行動、快速失敗並立即修正，學習新技能以尋求突破。</t>
        </is>
      </c>
      <c r="G114" s="32" t="inlineStr">
        <is>
          <t>莫長期跤踏原地、一動都無動（雖罔等待有時是人生的造化）。愛催迫家己佮專案行入下一坎。跤手愛緊、跌倒愛緊、改步愛緊，學新功夫來扭轉乾坤。</t>
        </is>
      </c>
      <c r="H114" s="33" t="inlineStr"/>
      <c r="I114" s="29" t="inlineStr"/>
      <c r="J114" s="34" t="inlineStr"/>
      <c r="K114" s="35" t="inlineStr"/>
    </row>
    <row r="115" ht="24" customHeight="1">
      <c r="A115" s="36" t="inlineStr">
        <is>
          <t>Slide 3</t>
        </is>
      </c>
      <c r="B115" s="37" t="inlineStr">
        <is>
          <t>No. 112</t>
        </is>
      </c>
      <c r="C115" s="38" t="inlineStr">
        <is>
          <t>原則 3, 原則 6</t>
        </is>
      </c>
      <c r="D115" s="39" t="inlineStr">
        <is>
          <t>Collect template / Report/ tarshiro, one page report, fish bone, 8D, FMEA, 3X5 why, low yield mindmap ( problem solving), CQC mindmap / breakdown…, tool template. ( O+, EY, PowerBI, R-script,python, JMP); apply it in your life as well.</t>
        </is>
      </c>
      <c r="E115" s="40" t="inlineStr">
        <is>
          <t>Collect professional report templates and problem-solving tools (e.g., one-page reports, fishbone diagrams, 8D reports, FMEA, 5 Whys, low-yield mind maps, and CQC analysis). Master data analytics tools (e.g., Office, PowerBI, R-script, Python, JMP) and apply these structured methodologies to your personal life as well.</t>
        </is>
      </c>
      <c r="F115" s="41" t="inlineStr">
        <is>
          <t>廣泛收集實用的報告範本與分析工具（如一頁式報告、魚骨圖、8D 報告、FMEA 失效模式分析、5 Whys、低良率分析心智圖等）。熟練數據與腳本工具（如 Office、PowerBI、R-script、Python、JMP），並將這些結構化思維應用到個人生活中。</t>
        </is>
      </c>
      <c r="G115" s="42" t="inlineStr">
        <is>
          <t>四界收集好用的報告範本佮分析架構（親像一頁紙報告、魚骨圖、8D 報告、FMEA、5 Whys、低良率分析心智圖等）。操熟數據工具（親像 Office、PowerBI、R-script、Python、JMP），共這寡條理分明的思維融會入日常生活。</t>
        </is>
      </c>
      <c r="H115" s="43" t="inlineStr"/>
      <c r="I115" s="39" t="inlineStr"/>
      <c r="J115" s="44" t="inlineStr"/>
      <c r="K115" s="45" t="inlineStr"/>
    </row>
    <row r="116" ht="24" customHeight="1">
      <c r="A116" s="26" t="inlineStr">
        <is>
          <t>Slide 3</t>
        </is>
      </c>
      <c r="B116" s="27" t="inlineStr">
        <is>
          <t>No. 113</t>
        </is>
      </c>
      <c r="C116" s="28" t="inlineStr">
        <is>
          <t>原則 10</t>
        </is>
      </c>
      <c r="D116" s="29" t="inlineStr">
        <is>
          <t>Try to rehearsal every presentation you will make and try to reorganize the statements make sure they are easily understood and clear. Item71.</t>
        </is>
      </c>
      <c r="E116" s="30" t="inlineStr">
        <is>
          <t>Rehearse every presentation you deliver. Reorganize your talking points to ensure they are simple, clear, and easy for the audience to follow. (Related to Item 71)</t>
        </is>
      </c>
      <c r="F116" s="31" t="inlineStr">
        <is>
          <t>每一次上台簡報前都要進行排練。重新調整你的發言架構與說法，確保表達清晰、通俗易懂。</t>
        </is>
      </c>
      <c r="G116" s="32" t="inlineStr">
        <is>
          <t>逐擺上台報告進前攏愛事先排練。共講話骨架理路重新梳理，講話愛到肉、清楚明白，予逐家一聽就通。（參照第 71 項）</t>
        </is>
      </c>
      <c r="H116" s="33" t="inlineStr"/>
      <c r="I116" s="29" t="inlineStr"/>
      <c r="J116" s="34" t="inlineStr"/>
      <c r="K116" s="35" t="inlineStr"/>
    </row>
    <row r="117" ht="24" customHeight="1">
      <c r="A117" s="36" t="inlineStr">
        <is>
          <t>Slide 3</t>
        </is>
      </c>
      <c r="B117" s="37" t="inlineStr">
        <is>
          <t>No. 114</t>
        </is>
      </c>
      <c r="C117" s="38" t="inlineStr">
        <is>
          <t>原則 18, 原則 19</t>
        </is>
      </c>
      <c r="D117" s="39" t="inlineStr">
        <is>
          <t>Self-distancing, Digital Minimalism to focus on your priority. Item14. Leave away from negative people, news and things. ( who has fixed mindset)</t>
        </is>
      </c>
      <c r="E117" s="40" t="inlineStr">
        <is>
          <t>Practice self-distancing and digital minimalism to maintain focus on your core priorities. Distance yourself from negative people (those with fixed mindsets), toxic news, and distractions. (Related to Item 14)</t>
        </is>
      </c>
      <c r="F117" s="41" t="inlineStr">
        <is>
          <t>實踐「自我抽離（Self-distancing）」與「數位極簡主義」，以便專注於首要任務。遠離消極的人（特別是固定思維者）、負面新聞與無謂雜務。</t>
        </is>
      </c>
      <c r="G117" s="42" t="inlineStr">
        <is>
          <t>學會曉「跳出局外退後看（自我抽離）」佮「數位極簡」，心神攏收佇上頭條的代誌。閃開死腦筋、怨天尤人的人，閃開歹新聞佮冗雜的雜務。（參照第 14 項）</t>
        </is>
      </c>
      <c r="H117" s="43" t="inlineStr"/>
      <c r="I117" s="39" t="inlineStr"/>
      <c r="J117" s="44" t="inlineStr"/>
      <c r="K117" s="45" t="inlineStr"/>
    </row>
    <row r="118" ht="24" customHeight="1">
      <c r="A118" s="26" t="inlineStr">
        <is>
          <t>Slide 3</t>
        </is>
      </c>
      <c r="B118" s="27" t="inlineStr">
        <is>
          <t>No. 115</t>
        </is>
      </c>
      <c r="C118" s="28" t="inlineStr">
        <is>
          <t>原則 19</t>
        </is>
      </c>
      <c r="D118" s="29" t="inlineStr">
        <is>
          <t>Wear headphones to isolation the noisy environment. It will avoid others disturb you. And people will know you are busy and don’t want to be disturbed. Distance yourself from noise source.</t>
        </is>
      </c>
      <c r="E118" s="30" t="inlineStr">
        <is>
          <t>Wear noise-canceling headphones to physically and visually isolate yourself from ambient office noise. This establishes clear personal boundaries, signaling to colleagues that you are in deep focus mode.</t>
        </is>
      </c>
      <c r="F118" s="31" t="inlineStr">
        <is>
          <t>佩戴耳機以隔離周遭環境噪音，防止不必要的干擾。這亦能向同仁傳遞正處於高度專注狀態的視覺訊號，維護高效工作的心理距離。</t>
        </is>
      </c>
      <c r="G118" s="32" t="inlineStr">
        <is>
          <t>耳機掛落去共外口吵鬧聲閘牢，免得別人四界來攪擾。耳機一掛，同仁隨知影你咧專心做工課、莫相吵，替家己築一道防線避開雜音。</t>
        </is>
      </c>
      <c r="H118" s="33" t="inlineStr"/>
      <c r="I118" s="29" t="inlineStr"/>
      <c r="J118" s="34" t="inlineStr"/>
      <c r="K118" s="35" t="inlineStr"/>
    </row>
    <row r="119" ht="24" customHeight="1">
      <c r="A119" s="36" t="inlineStr">
        <is>
          <t>Slide 3</t>
        </is>
      </c>
      <c r="B119" s="37" t="inlineStr">
        <is>
          <t>No. 116</t>
        </is>
      </c>
      <c r="C119" s="38" t="inlineStr">
        <is>
          <t>原則 9, 原則 13</t>
        </is>
      </c>
      <c r="D119" s="39" t="inlineStr">
        <is>
          <t>Don’t tend to throw wet blankets everywhere or to anyone. Or do it with humor way. Be decent and gentle.</t>
        </is>
      </c>
      <c r="E119" s="40" t="inlineStr">
        <is>
          <t>Avoid discouraging others or "throwing wet blankets" on their ideas. If you must offer critical feedback, do it with humor, decency, and gentleness.</t>
        </is>
      </c>
      <c r="F119" s="41" t="inlineStr">
        <is>
          <t>不要隨意給別人潑冷水。若必須指出問題，嘗試用幽默、得體且溫和的方式表達。</t>
        </is>
      </c>
      <c r="G119" s="42" t="inlineStr">
        <is>
          <t>莫四界去共人沃冷水、撲滅別人的志氣。若真有問題愛點醒，嘛愛帶寡幽默、講究體面，喙角春風閣溫純大器。</t>
        </is>
      </c>
      <c r="H119" s="43" t="inlineStr"/>
      <c r="I119" s="39" t="inlineStr"/>
      <c r="J119" s="44" t="inlineStr"/>
      <c r="K119" s="45" t="inlineStr"/>
    </row>
    <row r="120" ht="24" customHeight="1">
      <c r="A120" s="26" t="inlineStr">
        <is>
          <t>Slide 3</t>
        </is>
      </c>
      <c r="B120" s="27" t="inlineStr">
        <is>
          <t>No. 117</t>
        </is>
      </c>
      <c r="C120" s="28" t="inlineStr">
        <is>
          <t>原則 4, 原則 18</t>
        </is>
      </c>
      <c r="D120" s="29" t="inlineStr">
        <is>
          <t>Take a deep breath and count 1 to 10. Item46. Observe your breath. Watch out how the air flow.</t>
        </is>
      </c>
      <c r="E120" s="30" t="inlineStr">
        <is>
          <t>When feeling overwhelmed, take a deep breath and count slowly from 1 to 10. Focus on your breathing and observe the airflow to ground yourself. (Related to Item 46)</t>
        </is>
      </c>
      <c r="F120" s="31" t="inlineStr">
        <is>
          <t>焦慮時，深呼吸並默默數到10。將注意力集中在呼吸上，感受氣體的流動，讓自己冷靜下來。</t>
        </is>
      </c>
      <c r="G120" s="32" t="inlineStr">
        <is>
          <t>心神若浮躁，氣沉落去深呼吸、暗內數到十。心意專注看氣的起落吞吐，感受氣流的轉動，予性地冷靜定落來。（參照第 46 項）</t>
        </is>
      </c>
      <c r="H120" s="33" t="inlineStr"/>
      <c r="I120" s="29" t="inlineStr"/>
      <c r="J120" s="34" t="inlineStr"/>
      <c r="K120" s="35" t="inlineStr"/>
    </row>
    <row r="121" ht="24" customHeight="1">
      <c r="A121" s="36" t="inlineStr">
        <is>
          <t>Slide 3</t>
        </is>
      </c>
      <c r="B121" s="37" t="inlineStr">
        <is>
          <t>No. 118</t>
        </is>
      </c>
      <c r="C121" s="38" t="inlineStr">
        <is>
          <t>原則 9</t>
        </is>
      </c>
      <c r="D121" s="39" t="inlineStr">
        <is>
          <t>Put a “Soft reminder” in the email when you want to have comments.</t>
        </is>
      </c>
      <c r="E121" s="40" t="inlineStr">
        <is>
          <t>Use gentle phrases like "Soft reminder" or "Friendly reminder" when following up on pending email comments or feedback.</t>
        </is>
      </c>
      <c r="F121" s="41" t="inlineStr">
        <is>
          <t>在催請同事回覆意見或郵件時，使用「溫馨提醒（Soft reminder）」等溫和字眼。</t>
        </is>
      </c>
      <c r="G121" s="42" t="inlineStr">
        <is>
          <t>催同事覆批抑是討意見的時陣，批信內底愛用「客氣提醒（Soft reminder）」這款溫和的好口氣，予人感受著重視閣無壓力。</t>
        </is>
      </c>
      <c r="H121" s="43" t="inlineStr"/>
      <c r="I121" s="39" t="inlineStr"/>
      <c r="J121" s="44" t="inlineStr"/>
      <c r="K121" s="45" t="inlineStr"/>
    </row>
    <row r="122" ht="24" customHeight="1">
      <c r="A122" s="26" t="inlineStr">
        <is>
          <t>Slide 3</t>
        </is>
      </c>
      <c r="B122" s="27" t="inlineStr">
        <is>
          <t>No. 119</t>
        </is>
      </c>
      <c r="C122" s="28" t="inlineStr">
        <is>
          <t>原則 15</t>
        </is>
      </c>
      <c r="D122" s="29" t="inlineStr">
        <is>
          <t>What is your biggest day for you company? KPI review (2&amp;6) / year interest(1, 7) directly deposit into your account – AIP annual incentive program , ESPP(End of 2,8), RSU vested and new RSU(10), promote / salary increment (4), bonus (4,10) leader to talk/0050(1,7ex-dividend date), self-assessment workday yearly (Oct, not wait for Nov.), year-end feedback in workday (you can request anytime or when tasks finished). process and request feedback from others and BL. To have a good summary and send it to your leader earlier (10 Oct.) before they finish ranking between team alignment. Promotion discussion in Dec. // Start to nominate promotion list in Nov. ( Result? April) Have a good relationship with customers. To think KPI content in June. Do real projects which can be highlighted. Because they are more valuable. How many leave and sick leave pay? Next year roadmap.</t>
        </is>
      </c>
      <c r="E122" s="30" t="inlineStr">
        <is>
          <t>Master your company's critical annual financial and career milestones: KPI performance reviews, AIP incentive payouts, ESPP purchase windows, RSU vesting schedules, and promotion/bonus timelines. Proactively complete annual self-assessments in Workday by early October before management calibration meetings. Focus on high-impact projects that demonstrate tangible value, solicit feedback continuously, and align next year's roadmap early.</t>
        </is>
      </c>
      <c r="F122" s="31" t="inlineStr">
        <is>
          <t>掌握公司年度重大考核與財務時程（如 KPI 評核、績效獎金 AIP、員工認股 ESPP、RSU 歸屬、晉升加薪及分紅）。每年 10 月初即應主動於 Workday 完成自評與回饋收集，搶在團隊績效排名會議前提交主管。聚焦於具展現價值的亮點專案，並提前於年中規劃下一年度目標與職涯藍圖。</t>
        </is>
      </c>
      <c r="G122" s="32" t="inlineStr">
        <is>
          <t>會社一冬內底的大日子（KPI 考評、獎金 AIP、認股 ESPP、RSU 到手、起薪陞官的期程）心肝底攏愛有數。六月先想好 KPI 內容，十月初著愛主動佇 Workday 系統做自評、向同仁佮主管討回饋，搶佇主管群校對考績進前先交卷。平時佮人客維持好交情，目睭擘金看準有光彩、有價值的大案，提前規劃明年藍圖，職涯路途才行得遠。</t>
        </is>
      </c>
      <c r="H122" s="33" t="inlineStr"/>
      <c r="I122" s="29" t="inlineStr"/>
      <c r="J122" s="34" t="inlineStr"/>
      <c r="K122" s="35" t="inlineStr"/>
    </row>
    <row r="123" ht="24" customHeight="1">
      <c r="A123" s="36" t="inlineStr">
        <is>
          <t>Slide 3</t>
        </is>
      </c>
      <c r="B123" s="37" t="inlineStr">
        <is>
          <t>No. 120</t>
        </is>
      </c>
      <c r="C123" s="38" t="inlineStr">
        <is>
          <t>原則 12</t>
        </is>
      </c>
      <c r="D123" s="39" t="inlineStr">
        <is>
          <t>Avoid your colleagues' work shift to your back when you put some questions on the table. Protect yourself.</t>
        </is>
      </c>
      <c r="E123" s="40" t="inlineStr">
        <is>
          <t>When raising issues or putting questions on the table, be careful that colleagues do not shift their workload or responsibilities onto you. Protect your boundaries.</t>
        </is>
      </c>
      <c r="F123" s="41" t="inlineStr">
        <is>
          <t>在會議中主動提出問題時，要提防同事趁機將相關工作或責任推回給你（接刀）。守好防線，保護自己。</t>
        </is>
      </c>
      <c r="G123" s="42" t="inlineStr">
        <is>
          <t>開會主動掀問題出來討論，愛提防同事趁勢借刀殺人、共包袱捒予你擔。防線愛顧牢，莫無端替人揹神主牌。</t>
        </is>
      </c>
      <c r="H123" s="43" t="inlineStr"/>
      <c r="I123" s="39" t="inlineStr"/>
      <c r="J123" s="44" t="inlineStr"/>
      <c r="K123" s="45" t="inlineStr"/>
    </row>
    <row r="124" ht="24" customHeight="1">
      <c r="A124" s="26" t="inlineStr">
        <is>
          <t>Slide 3</t>
        </is>
      </c>
      <c r="B124" s="27" t="inlineStr">
        <is>
          <t>No. 121</t>
        </is>
      </c>
      <c r="C124" s="28" t="inlineStr">
        <is>
          <t>原則 8</t>
        </is>
      </c>
      <c r="D124" s="29" t="inlineStr">
        <is>
          <t>Begin with the end in mind. Working backwards / reversing engineering.</t>
        </is>
      </c>
      <c r="E124" s="30" t="inlineStr">
        <is>
          <t>Begin with the end in mind. Practice reverse thinking and backward engineering to plan your steps.</t>
        </is>
      </c>
      <c r="F124" s="31" t="inlineStr">
        <is>
          <t>以終為始。學會利用逆向工程（Reverse engineering）從最終目標倒推執行步驟。</t>
        </is>
      </c>
      <c r="G124" s="32" t="inlineStr">
        <is>
          <t>心頭想好收尾才動工（以終為始）。學會曉逆向工程推算，對上尾端的成果倒推轉來，逐層排定落手步數。</t>
        </is>
      </c>
      <c r="H124" s="33" t="inlineStr"/>
      <c r="I124" s="29" t="inlineStr"/>
      <c r="J124" s="34" t="inlineStr"/>
      <c r="K124" s="35" t="inlineStr"/>
    </row>
    <row r="125" ht="24" customHeight="1">
      <c r="A125" s="36" t="inlineStr">
        <is>
          <t>Slide 3</t>
        </is>
      </c>
      <c r="B125" s="37" t="inlineStr">
        <is>
          <t>No. 122</t>
        </is>
      </c>
      <c r="C125" s="38" t="inlineStr">
        <is>
          <t>原則 11</t>
        </is>
      </c>
      <c r="D125" s="39" t="inlineStr">
        <is>
          <t>Put your ass heavy, you don’t need to reply everyone’s email / message rapidly, even they came to your desk. (How to say NO in 10 ways) Item 21. Try to leave a time slot ( safety of margin) and see if the situation were changed or not. What’s impact if you do nothing. Even delete first.</t>
        </is>
      </c>
      <c r="E125" s="40" t="inlineStr">
        <is>
          <t>Maintain composure and refrain from reacting instantly to every email, message, or drop-in request. Reserve a buffer time ("safety margin") to assess whether issues resolve themselves naturally, evaluating the true impact of inaction before committing your bandwidth (refer to Item 21).</t>
        </is>
      </c>
      <c r="F125" s="41" t="inlineStr">
        <is>
          <t>保持沉著冷靜（「屁股要沉」），不必對每封郵件或突然到訪的要求做出即時反應。為自己預留思考的安全邊界，先評估「暫不回應」的影響，觀察局勢發展再做處理（參見第 21 項）。</t>
        </is>
      </c>
      <c r="G125" s="42" t="inlineStr">
        <is>
          <t>底盤愛坐重（「尻川愛沉」），毋免同事一行到桌邊抑是批信一來就青狂隨應（學會曉十種講「毋」的步數，參照第 21 項）。留一截緩衝退路（安全邊際），看清楚局勢變化，算看覓「若放咧無治敢會按怎」，甚至先刪掉嘛無妨，省氣力閣袂予人牽鼻走。</t>
        </is>
      </c>
      <c r="H125" s="43" t="inlineStr"/>
      <c r="I125" s="39" t="inlineStr"/>
      <c r="J125" s="44" t="inlineStr"/>
      <c r="K125" s="45" t="inlineStr"/>
    </row>
    <row r="126" ht="24" customHeight="1">
      <c r="A126" s="26" t="inlineStr">
        <is>
          <t>Slide 3</t>
        </is>
      </c>
      <c r="B126" s="27" t="inlineStr">
        <is>
          <t>No. 123</t>
        </is>
      </c>
      <c r="C126" s="28" t="inlineStr">
        <is>
          <t>原則 17</t>
        </is>
      </c>
      <c r="D126" s="29" t="inlineStr">
        <is>
          <t>Ask for promotion with solid achievement. Speak loudly. Work out loud. Collect some evidence as record. Good documentation and feedback from colleagues.</t>
        </is>
      </c>
      <c r="E126" s="30" t="inlineStr">
        <is>
          <t>Bravely ask for promotion, backed by solid achievements. Practice "working out loud" to make your contributions visible, maintain clear documentation, and proactively collect positive feedback from colleagues.</t>
        </is>
      </c>
      <c r="F126" s="31" t="inlineStr">
        <is>
          <t>拿實力說話，大膽爭取晉升。學會「高調工作（Work out loud）」讓主管看見貢獻，做好成果記錄，並主動收集同事的正面反饋作為佐證。</t>
        </is>
      </c>
      <c r="G126" s="32" t="inlineStr">
        <is>
          <t>提真本領出頭講話，大膽開喙爭取陞官。學會曉「做工課大聲宣揚（Work out loud）」，予長官看著你的功勞。文件記詳細，主動收集同仁的讚賞做鐵證。</t>
        </is>
      </c>
      <c r="H126" s="33" t="inlineStr"/>
      <c r="I126" s="29" t="inlineStr"/>
      <c r="J126" s="34" t="inlineStr"/>
      <c r="K126" s="35" t="inlineStr"/>
    </row>
    <row r="127" ht="24" customHeight="1">
      <c r="A127" s="36" t="inlineStr">
        <is>
          <t>Slide 3</t>
        </is>
      </c>
      <c r="B127" s="37" t="inlineStr">
        <is>
          <t>No. 124</t>
        </is>
      </c>
      <c r="C127" s="38" t="inlineStr">
        <is>
          <t>原則 16</t>
        </is>
      </c>
      <c r="D127" s="39" t="inlineStr">
        <is>
          <t>Ask yourself what’s your expertise and long-term plan? What do you want to achieve on it and timeline? (ask a good question to you) To build up a capability or determination to solve /finish one thing like 100 marathons, 100,000 words of novel. （100 tasks list）</t>
        </is>
      </c>
      <c r="E127" s="40" t="inlineStr">
        <is>
          <t>Regularly ask yourself: "What is my core expertise, and what is my long-term career plan?" Define clear goals and timelines. Build the resolve to accomplish monumental tasks (e.g., running 100 marathons, writing a 100,000-word novel, or completing a 100-task list).</t>
        </is>
      </c>
      <c r="F127" s="41" t="inlineStr">
        <is>
          <t>定期自我審視：「我的核心專長是什麼？我的長期規劃是什麼？」設定清晰目標與時間線。培養完成一件宏大目標的決心與毅力（例如：挑戰100場馬拉松、寫一本10萬字的小說，或執行你的100項任務清單）。</t>
        </is>
      </c>
      <c r="G127" s="42" t="inlineStr">
        <is>
          <t>定定盤問家己：「我的獨門手路是啥物？長遠算盤是按怎？」劃清楚目標佮期程。磨出成全一件大事的志氣佮骨氣（親像走破百場馬拉松、寫一部十萬字的小說，抑是拚完百項任務清單）。</t>
        </is>
      </c>
      <c r="H127" s="43" t="inlineStr"/>
      <c r="I127" s="39" t="inlineStr"/>
      <c r="J127" s="44" t="inlineStr"/>
      <c r="K127" s="45" t="inlineStr"/>
    </row>
    <row r="128" ht="24" customHeight="1">
      <c r="A128" s="26" t="inlineStr">
        <is>
          <t>Slide 3</t>
        </is>
      </c>
      <c r="B128" s="27" t="inlineStr">
        <is>
          <t>No. 125</t>
        </is>
      </c>
      <c r="C128" s="28" t="inlineStr">
        <is>
          <t>原則 6</t>
        </is>
      </c>
      <c r="D128" s="29" t="inlineStr">
        <is>
          <t>Image when project / life running is not smooth? Black swan. Outliers will be presented in one day. Enter sandbox mode \ different mind mode to emulate. Stress test. How to react impolite speech? 情境思考。Mindset scenario</t>
        </is>
      </c>
      <c r="E128" s="30" t="inlineStr">
        <is>
          <t>Prepare for unexpected disruption and "black swan" events in projects and personal life. Utilize sandbox mental simulation to stress-test scenarios in advance, formulating measured responses for difficult circumstances or impolite interactions.</t>
        </is>
      </c>
      <c r="F128" s="31" t="inlineStr">
        <is>
          <t>預想專案或生活面臨逆境與「黑天鵝」事件的可能。建立沙盒模擬心態進行壓力測試，預先設想各種情境（包括如何應對不禮貌的言行），以確保臨危不亂。</t>
        </is>
      </c>
      <c r="G128" s="32" t="inlineStr">
        <is>
          <t>先打算好工課抑是日子若行無順著按怎應付。烏天鵝早晚會飛過頭頂，入去「沙盤推演模式」做耐壓測試，先想好千百種情境的應對法度（連拄著粗魯無禮的言詞按怎化解攏愛演練），先備好勢才臨危不亂。</t>
        </is>
      </c>
      <c r="H128" s="33" t="inlineStr"/>
      <c r="I128" s="29" t="inlineStr"/>
      <c r="J128" s="34" t="inlineStr"/>
      <c r="K128" s="35" t="inlineStr"/>
    </row>
    <row r="129" ht="24" customHeight="1">
      <c r="A129" s="36" t="inlineStr">
        <is>
          <t>Slide 3</t>
        </is>
      </c>
      <c r="B129" s="37" t="inlineStr">
        <is>
          <t>No. 126</t>
        </is>
      </c>
      <c r="C129" s="38" t="inlineStr">
        <is>
          <t>原則 16</t>
        </is>
      </c>
      <c r="D129" s="39" t="inlineStr">
        <is>
          <t>Try to learn how your colleague work their project, is there any structure way that you can duplicate and learn? Item 42. It is free but you need to ask. Learn from others. Who can you learn from?</t>
        </is>
      </c>
      <c r="E129" s="40" t="inlineStr">
        <is>
          <t>Observe how successful colleagues manage their projects; identify structural methodologies you can replicate and adapt. This learning is free, but you must take the initiative to ask. Identify the best mentors around you. (Related to Item 42)</t>
        </is>
      </c>
      <c r="F129" s="41" t="inlineStr">
        <is>
          <t>觀察優秀同事是如何推進專案的，找出他們身上可複製的結構化方法論。這種學習是免費的，但你需要主動開口請教。隨時思索：我身邊有誰是值得學習的對象？</t>
        </is>
      </c>
      <c r="G129" s="42" t="inlineStr">
        <is>
          <t>斟酌看厲害同事是按怎牽引工課的，偷學怹身上會當模仿的好條理、好手路。這款功夫免納學費，只要你肯開喙謙虛請教。定定問家己：身邊有啥人值得咱見賢思齊？（參照第 42 項）</t>
        </is>
      </c>
      <c r="H129" s="43" t="inlineStr"/>
      <c r="I129" s="39" t="inlineStr"/>
      <c r="J129" s="44" t="inlineStr"/>
      <c r="K129" s="45" t="inlineStr"/>
    </row>
    <row r="130" ht="24" customHeight="1">
      <c r="A130" s="26" t="inlineStr">
        <is>
          <t>Slide 3</t>
        </is>
      </c>
      <c r="B130" s="27" t="inlineStr">
        <is>
          <t>No. 127</t>
        </is>
      </c>
      <c r="C130" s="28" t="inlineStr">
        <is>
          <t>原則 18</t>
        </is>
      </c>
      <c r="D130" s="29" t="inlineStr">
        <is>
          <t>Difficulties will pass away , just be patient and wait. We need some time and get some results which will help us to make the decision for next step . You cannot jump from A to C directly. Item 46,84, 75, 131.</t>
        </is>
      </c>
      <c r="E130" s="30" t="inlineStr">
        <is>
          <t>Setbacks will eventually pass; practice patience and wait. Sometimes, we need time to allow results to unfold before making the next decision. Remember, you cannot jump from step A to C without going through B. (Related to Items 46, 75, 84, and 131)</t>
        </is>
      </c>
      <c r="F130" s="31" t="inlineStr">
        <is>
          <t>難關終究會過去，保持耐心。很多時候我們需要時間讓結果明朗，才能做出下一步的明智決策。你無法不經歷 B，就直接從 A 跳到 C。</t>
        </is>
      </c>
      <c r="G130" s="32" t="inlineStr">
        <is>
          <t>風波坎坷終究會消退，心胸定著冗冗仔等。真濟時陣著愛留時間予局勢明朗，才好決斷下一跤棋。無經過 B，是無法度直接對 A 跳到 C 的。（參照第 46、75、84 佮 131 項）</t>
        </is>
      </c>
      <c r="H130" s="33" t="inlineStr"/>
      <c r="I130" s="29" t="inlineStr"/>
      <c r="J130" s="34" t="inlineStr"/>
      <c r="K130" s="35" t="inlineStr"/>
    </row>
    <row r="131" ht="24" customHeight="1">
      <c r="A131" s="36" t="inlineStr">
        <is>
          <t>Slide 3</t>
        </is>
      </c>
      <c r="B131" s="37" t="inlineStr">
        <is>
          <t>No. 128</t>
        </is>
      </c>
      <c r="C131" s="38" t="inlineStr">
        <is>
          <t>原則 10</t>
        </is>
      </c>
      <c r="D131" s="39" t="inlineStr">
        <is>
          <t>Before starting meeting, ask people how are you, how about holiday….Good icebreaking will help communication. Prepare some global news for instance. EX: how is your family , kids, house, weather?</t>
        </is>
      </c>
      <c r="E131" s="40" t="inlineStr">
        <is>
          <t>Before starting a meeting, engage in warm-up conversations (e.g., asking about holidays, family, kids, or the weather). Effective icebreaking builds rapport and facilitates smoother collaboration; prepare a few casual topics or global news in advance.</t>
        </is>
      </c>
      <c r="F131" s="41" t="inlineStr">
        <is>
          <t>在會議正式開始前，主動聊家常（例如詢問週末過得如何、家庭、小孩或天氣）。良好的破冰有助於建立融洽氣氛，讓溝通更順暢。平時可以準備一些全球新聞或輕鬆話題作為素材。</t>
        </is>
      </c>
      <c r="G131" s="42" t="inlineStr">
        <is>
          <t>會議未開頭進前，先借話頭問候開講（親像問休假敢好、厝內、囡仔抑是天色按怎）。會前暖身會當引出好和氣，後壁溝通順順順。平時會使留心一寡國際大事抑是輕鬆話頭當做柴火。</t>
        </is>
      </c>
      <c r="H131" s="43" t="inlineStr"/>
      <c r="I131" s="39" t="inlineStr"/>
      <c r="J131" s="44" t="inlineStr"/>
      <c r="K131" s="45" t="inlineStr"/>
    </row>
    <row r="132" ht="24" customHeight="1">
      <c r="A132" s="26" t="inlineStr">
        <is>
          <t>Slide 3</t>
        </is>
      </c>
      <c r="B132" s="27" t="inlineStr">
        <is>
          <t>No. 129</t>
        </is>
      </c>
      <c r="C132" s="28" t="inlineStr">
        <is>
          <t>原則 16, 原則 17</t>
        </is>
      </c>
      <c r="D132" s="29" t="inlineStr">
        <is>
          <t>Build up a capability with mobility and relationship. Item90</t>
        </is>
      </c>
      <c r="E132" s="30" t="inlineStr">
        <is>
          <t>Focus on building competencies that offer high mobility (portable skills) and strong professional relationships. (Related to Item 90)</t>
        </is>
      </c>
      <c r="F132" s="31" t="inlineStr">
        <is>
          <t>著力於培養具備高流動性的個人能力（帶得走的專業技能）與穩固的人際關係網絡。</t>
        </is>
      </c>
      <c r="G132" s="32" t="inlineStr">
        <is>
          <t>心力愛集中佇練就「紮會走的真本領（高流動性專業）」佮交結穩當的人面人脈。（參照第 90 項）</t>
        </is>
      </c>
      <c r="H132" s="33" t="inlineStr"/>
      <c r="I132" s="29" t="inlineStr"/>
      <c r="J132" s="34" t="inlineStr"/>
      <c r="K132" s="35" t="inlineStr"/>
    </row>
    <row r="133" ht="24" customHeight="1">
      <c r="A133" s="36" t="inlineStr">
        <is>
          <t>Slide 3</t>
        </is>
      </c>
      <c r="B133" s="37" t="inlineStr">
        <is>
          <t>No. 130</t>
        </is>
      </c>
      <c r="C133" s="38" t="inlineStr">
        <is>
          <t>原則 15, 原則 18</t>
        </is>
      </c>
      <c r="D133" s="39" t="inlineStr">
        <is>
          <t>To develop mental stability, mental resilience, mental balance, anti-fragile.</t>
        </is>
      </c>
      <c r="E133" s="40" t="inlineStr">
        <is>
          <t>Strive to develop mental stability, emotional balance, resilience, and an antifragile mindset.</t>
        </is>
      </c>
      <c r="F133" s="41" t="inlineStr">
        <is>
          <t>致力於修煉內心的穩定、情緒的平衡、心理韌性與反脆弱（Antifragile）心態。</t>
        </is>
      </c>
      <c r="G133" s="42" t="inlineStr">
        <is>
          <t>修持內心的定靜、情緒的平穩、經得起考驗的韌性，磨出愈拍愈勇的反脆弱底氣。</t>
        </is>
      </c>
      <c r="H133" s="43" t="inlineStr"/>
      <c r="I133" s="39" t="inlineStr"/>
      <c r="J133" s="44" t="inlineStr"/>
      <c r="K133" s="45" t="inlineStr"/>
    </row>
    <row r="134" ht="24" customHeight="1">
      <c r="A134" s="26" t="inlineStr">
        <is>
          <t>Slide 3</t>
        </is>
      </c>
      <c r="B134" s="27" t="inlineStr">
        <is>
          <t>No. 131</t>
        </is>
      </c>
      <c r="C134" s="28" t="inlineStr">
        <is>
          <t>原則 18</t>
        </is>
      </c>
      <c r="D134" s="29" t="inlineStr">
        <is>
          <t>Difficulties shall pass. Encourage yourself, item127,151. People tend to think the worse case which nearly won’t be happened.</t>
        </is>
      </c>
      <c r="E134" s="30" t="inlineStr">
        <is>
          <t>Hardships will pass. Encourage yourself constantly. Remember that humans naturally tend to worry about worst-case scenarios that rarely happen. (Related to Items 127 and 151)</t>
        </is>
      </c>
      <c r="F134" s="31" t="inlineStr">
        <is>
          <t>困難總會過去。不斷給自己積極心理暗示。人類大腦容易過度預想那些幾乎不會發生的最壞狀況（杞人憂天），別被想像的恐懼嚇倒。</t>
        </is>
      </c>
      <c r="G134" s="32" t="inlineStr">
        <is>
          <t>關關難過關關過，時時共家己加油鼓勵。凡人腦筋上愛胡思亂想、煩惱彼種十成九袂發生的歹代誌，千萬莫予家己心內的魔鬼驚著。（參照第 127 佮 151 項）</t>
        </is>
      </c>
      <c r="H134" s="33" t="inlineStr"/>
      <c r="I134" s="29" t="inlineStr"/>
      <c r="J134" s="34" t="inlineStr"/>
      <c r="K134" s="35" t="inlineStr"/>
    </row>
    <row r="135" ht="24" customHeight="1">
      <c r="A135" s="36" t="inlineStr">
        <is>
          <t>Slide 3</t>
        </is>
      </c>
      <c r="B135" s="37" t="inlineStr">
        <is>
          <t>No. 132</t>
        </is>
      </c>
      <c r="C135" s="38" t="inlineStr">
        <is>
          <t>原則 4, 原則 20</t>
        </is>
      </c>
      <c r="D135" s="39" t="inlineStr">
        <is>
          <t>Write down key items which to be checked after holidays. And don’t forget PWD of laptop. Like your bank account ( good to have a list to maintain), the things to be followed up. ( minimum the complexity.) write down</t>
        </is>
      </c>
      <c r="E135" s="40" t="inlineStr">
        <is>
          <t>Document key follow-up items and essential credentials (including laptop passwords) before taking extended leave. Maintaining a simplified post-holiday action list minimizes mental friction upon your return.</t>
        </is>
      </c>
      <c r="F135" s="41" t="inlineStr">
        <is>
          <t>休假前詳細列出假後待辦事項與關鍵密碼（如電腦登入密碼及帳戶資訊）。透過清單化管理降低複雜度，確保休假歸隊後能迅速無縫無痛重返工作狀態。</t>
        </is>
      </c>
      <c r="G135" s="42" t="inlineStr">
        <is>
          <t>放假進前共收假欲接辦的工課佮要緊密碼（電腦密碼、銀行帳戶資料）記予齊全。化繁為簡寫成清單，等放假歇飽轉來，頭腦清爽隨銜接會牢，袂漏嘛袂青狂慌亂。</t>
        </is>
      </c>
      <c r="H135" s="43" t="inlineStr"/>
      <c r="I135" s="39" t="inlineStr"/>
      <c r="J135" s="44" t="inlineStr"/>
      <c r="K135" s="45" t="inlineStr"/>
    </row>
    <row r="136" ht="24" customHeight="1">
      <c r="A136" s="26" t="inlineStr">
        <is>
          <t>Slide 3</t>
        </is>
      </c>
      <c r="B136" s="27" t="inlineStr">
        <is>
          <t>No. 133</t>
        </is>
      </c>
      <c r="C136" s="28" t="inlineStr">
        <is>
          <t>原則 16</t>
        </is>
      </c>
      <c r="D136" s="29" t="inlineStr">
        <is>
          <t>Do you clearly know what’s big priority at this moment this week, next month, even this year, next 5 year, next 10 year? ( how many weeks left in your life? ) Retire plan, bucket list? Item 124.</t>
        </is>
      </c>
      <c r="E136" s="30" t="inlineStr">
        <is>
          <t>Are you clear about your top priorities for this week, this month, this year, and the next 5 to 10 years? Reflect on your life timeline (how many weeks do you have left?), your retirement plan, and your bucket list. (Related to Item 124)</t>
        </is>
      </c>
      <c r="F136" s="31" t="inlineStr">
        <is>
          <t>你是否清楚知道自己這週、下個月、今年、未來5年甚至10年的核心目標是什麼？（人生只有短暫的幾千個星期）。認真規劃你的退休藍圖與人生清單（Bucket list）。</t>
        </is>
      </c>
      <c r="G136" s="32" t="inlineStr">
        <is>
          <t>你敢真正知影家己這禮拜、後個月、今年、甚至未來五年、十年的頭條大事是啥物？（人生算落來無幾千個禮拜好過）。踏實打算家己的退休日子佮一世人的願望清單。（參照第 124 項）</t>
        </is>
      </c>
      <c r="H136" s="33" t="inlineStr"/>
      <c r="I136" s="29" t="inlineStr"/>
      <c r="J136" s="34" t="inlineStr"/>
      <c r="K136" s="35" t="inlineStr"/>
    </row>
    <row r="137" ht="24" customHeight="1">
      <c r="A137" s="36" t="inlineStr">
        <is>
          <t>Slide 3</t>
        </is>
      </c>
      <c r="B137" s="37" t="inlineStr">
        <is>
          <t>No. 134</t>
        </is>
      </c>
      <c r="C137" s="38" t="inlineStr">
        <is>
          <t>原則 2</t>
        </is>
      </c>
      <c r="D137" s="39" t="inlineStr">
        <is>
          <t>Try to understand which term for each field and take a note. Be curious to learn something new. No matter global news, industrial news and market trend.</t>
        </is>
      </c>
      <c r="E137" s="40" t="inlineStr">
        <is>
          <t>Make an effort to understand specialized terminology in different domains and take notes. Maintain curiosity about industry trends, global news, and market shifts.</t>
        </is>
      </c>
      <c r="F137" s="41" t="inlineStr">
        <is>
          <t>努力理解跨領域的專業術語並做筆記。對新知識保持好奇心，隨時關注全球新聞、行業動態與市場趨勢。</t>
        </is>
      </c>
      <c r="G137" s="42" t="inlineStr">
        <is>
          <t>落工夫摸熟跨行跨業的專門術語閣記落來。對新知見維持好玄的心，隨時張望世界大勢、同行脈動佮市場潮流。</t>
        </is>
      </c>
      <c r="H137" s="43" t="inlineStr"/>
      <c r="I137" s="39" t="inlineStr"/>
      <c r="J137" s="44" t="inlineStr"/>
      <c r="K137" s="45" t="inlineStr"/>
    </row>
    <row r="138" ht="24" customHeight="1">
      <c r="A138" s="26" t="inlineStr">
        <is>
          <t>Slide 3</t>
        </is>
      </c>
      <c r="B138" s="27" t="inlineStr">
        <is>
          <t>No. 135</t>
        </is>
      </c>
      <c r="C138" s="28" t="inlineStr">
        <is>
          <t>原則 20</t>
        </is>
      </c>
      <c r="D138" s="29" t="inlineStr">
        <is>
          <t>You cannot copy other’s life, but you can imitate some of their good habits. Exercise, get up early, the way of talking, thinking. AI/ML, Black belt, PMP.</t>
        </is>
      </c>
      <c r="E138" s="30" t="inlineStr">
        <is>
          <t>You cannot replicate someone else's life, but you can adopt their high-performance habits (e.g., exercise, waking up early, communication styles, and structured thinking). Invest in certifications and skillsets like AI/ML, Six Sigma Black Belt, or PMP.</t>
        </is>
      </c>
      <c r="F138" s="31" t="inlineStr">
        <is>
          <t>你無法完全複製別人的成功人生，但可以借鑑他們的優秀習慣（如運動、早起、言談舉止、思維模型）。積極考取高價值證照，如 AI/機器學習、六標準差黑帶（Black belt）或 PMP 專案管理師。</t>
        </is>
      </c>
      <c r="G138" s="32" t="inlineStr">
        <is>
          <t>你無才調全套照抄別人的人生，毋過會當學怹身上的好習慣（親像健身運動、早起、講話風度、想代誌的理路）。積極考取有份量的證照（親像 AI/ML、六標準差烏帶抑是 PMP 專案師），替身價添本錢。</t>
        </is>
      </c>
      <c r="H138" s="33" t="inlineStr"/>
      <c r="I138" s="29" t="inlineStr"/>
      <c r="J138" s="34" t="inlineStr"/>
      <c r="K138" s="35" t="inlineStr"/>
    </row>
    <row r="139" ht="24" customHeight="1">
      <c r="A139" s="36" t="inlineStr">
        <is>
          <t>Slide 3</t>
        </is>
      </c>
      <c r="B139" s="37" t="inlineStr">
        <is>
          <t>No. 136</t>
        </is>
      </c>
      <c r="C139" s="38" t="inlineStr">
        <is>
          <t>原則 6</t>
        </is>
      </c>
      <c r="D139" s="39" t="inlineStr">
        <is>
          <t>What’s the worse situation / scenario / bottom line? Give you a stress test. It is temporary or permanent. Item 50. Item 125. If fails, what is the loss and impact? What can we learn.</t>
        </is>
      </c>
      <c r="E139" s="40" t="inlineStr">
        <is>
          <t>Define the absolute worst-case scenario and bottom line through rigorous stress testing. Evaluate whether risks are temporary or permanent, calculate potential downside impact, and extract valuable lessons from potential failure (refer to Items 50 &amp; 125).</t>
        </is>
      </c>
      <c r="F139" s="41" t="inlineStr">
        <is>
          <t>釐清最壞的打算與停損底線，進行極限壓力測試。評估衝擊屬於暫時性抑或永久性，量化失敗後的損失與影響，並從中汲取經驗與教訓（參見第 50 與 125 項）。</t>
        </is>
      </c>
      <c r="G139" s="42" t="inlineStr">
        <is>
          <t>做代誌先打量上歹的結局佮停損底線，替家己做耐壓測試。盤算這場衝擊是一時仔抑是一世人，假使真破局，損失有偌深、影響有偌闊，閣有啥物教訓好記取。（參照第 50 佮 125 項）</t>
        </is>
      </c>
      <c r="H139" s="43" t="inlineStr"/>
      <c r="I139" s="39" t="inlineStr"/>
      <c r="J139" s="44" t="inlineStr"/>
      <c r="K139" s="45" t="inlineStr"/>
    </row>
    <row r="140" ht="24" customHeight="1">
      <c r="A140" s="26" t="inlineStr">
        <is>
          <t>Slide 3</t>
        </is>
      </c>
      <c r="B140" s="27" t="inlineStr">
        <is>
          <t>No. 137</t>
        </is>
      </c>
      <c r="C140" s="28" t="inlineStr">
        <is>
          <t>原則 16</t>
        </is>
      </c>
      <c r="D140" s="29" t="inlineStr">
        <is>
          <t>Imagine what is the future skill / knowledge (hard/soft), be patient. Market trend.</t>
        </is>
      </c>
      <c r="E140" s="30" t="inlineStr">
        <is>
          <t>Anticipate what hard and soft skills will be required in the future market. Practice patience, keep observing market trends, and adapt ahead of time.</t>
        </is>
      </c>
      <c r="F140" s="31" t="inlineStr">
        <is>
          <t>洞察未來市場最需要的硬實力與軟實力是什麼。保持耐心，緊跟市場潮流並提早布局學習。</t>
        </is>
      </c>
      <c r="G140" s="32" t="inlineStr">
        <is>
          <t>擘開目睭料想未來市場上欠缺的硬功夫佮軟實力。性地愛定、斟酌看清風向，提早鋪路學習。</t>
        </is>
      </c>
      <c r="H140" s="33" t="inlineStr"/>
      <c r="I140" s="29" t="inlineStr"/>
      <c r="J140" s="34" t="inlineStr"/>
      <c r="K140" s="35" t="inlineStr"/>
    </row>
    <row r="141" ht="24" customHeight="1">
      <c r="A141" s="36" t="inlineStr">
        <is>
          <t>Slide 3</t>
        </is>
      </c>
      <c r="B141" s="37" t="inlineStr">
        <is>
          <t>No. 138</t>
        </is>
      </c>
      <c r="C141" s="38" t="inlineStr">
        <is>
          <t>原則 9, 原則 13</t>
        </is>
      </c>
      <c r="D141" s="39" t="inlineStr">
        <is>
          <t>Try to co-work with people who you don’t like. Talk to them with soft and steady tone. Put yourself in their shoes. Sharpen your skill of collaboration. Item2. Focus on process / WoW and result. empathy (同理心), compassion 和 sympathy (同情心) item153</t>
        </is>
      </c>
      <c r="E141" s="40" t="inlineStr">
        <is>
          <t>Learn to collaborate effectively with individuals you find difficult. Speak with a steady, gentle tone, practice empathy by putting yourself in their shoes, and focus strictly on operational workflows and tangible results (refer to Items 2 &amp; 153).</t>
        </is>
      </c>
      <c r="F141" s="41" t="inlineStr">
        <is>
          <t>鍛鍊與個人偏好不同者協同工作的能力。保持溫和穩定的語氣，換位思考展現同理心，將重點聚焦於工作流程（Ways of Working）與最終成果（參見第 2 與 153 項）。</t>
        </is>
      </c>
      <c r="G141" s="42" t="inlineStr">
        <is>
          <t>學看按怎佮合袂來的對手同齊做工課。開喙聲調愛軟閣愛沉，徛佇對方的觀點替人設想，心存體貼佮同理心。聚精會神佇流程步數（WoW）佮最終成果，這才是做人做事的高手功夫。（參照第 2 佮 153 項）</t>
        </is>
      </c>
      <c r="H141" s="43" t="inlineStr"/>
      <c r="I141" s="39" t="inlineStr"/>
      <c r="J141" s="44" t="inlineStr"/>
      <c r="K141" s="45" t="inlineStr"/>
    </row>
    <row r="142" ht="24" customHeight="1">
      <c r="A142" s="26" t="inlineStr">
        <is>
          <t>Slide 3</t>
        </is>
      </c>
      <c r="B142" s="27" t="inlineStr">
        <is>
          <t>No. 139</t>
        </is>
      </c>
      <c r="C142" s="28" t="inlineStr">
        <is>
          <t>原則 15, 原則 16</t>
        </is>
      </c>
      <c r="D142" s="29" t="inlineStr">
        <is>
          <t>To promote yourself (capability-hard/soft skill), speak loudly and show your contribution. KPI. OKR. ( key performance index, object key result) OGSM strategy measurement</t>
        </is>
      </c>
      <c r="E142" s="30" t="inlineStr">
        <is>
          <t>Actively showcase your contributions and expertise (both hard and soft skills). Clearly articulate your value to stakeholders using structured frameworks such as KPIs, OKRs, and OGSM strategic metrics.</t>
        </is>
      </c>
      <c r="F142" s="31" t="inlineStr">
        <is>
          <t>積極展現個人的硬實力與軟實力，清楚闡述自身貢獻。運用 KPI、OKR 與 OGSM 等策略衡量框架，量化呈現工作成效與價值。</t>
        </is>
      </c>
      <c r="G142" s="32" t="inlineStr">
        <is>
          <t>大氣展現家己的真才實學（軟硬實力），大聲共家己的貢獻講予清楚明白。借重 KPI、OKR 佮 OGSM 這寡策略指標，數據攤出檯面，共成果做足成數。</t>
        </is>
      </c>
      <c r="H142" s="33" t="inlineStr"/>
      <c r="I142" s="29" t="inlineStr"/>
      <c r="J142" s="34" t="inlineStr"/>
      <c r="K142" s="35" t="inlineStr"/>
    </row>
    <row r="143" ht="24" customHeight="1">
      <c r="A143" s="36" t="inlineStr">
        <is>
          <t>Slide 4</t>
        </is>
      </c>
      <c r="B143" s="37" t="inlineStr">
        <is>
          <t>No. 140</t>
        </is>
      </c>
      <c r="C143" s="38" t="inlineStr">
        <is>
          <t>原則 16</t>
        </is>
      </c>
      <c r="D143" s="39" t="inlineStr">
        <is>
          <t>Can you gain new things from this assignment? Always to re-invent yourself and add more identities to fit market in the future. (Yuval Noah Harari) new knowledge, changes, thoughts? Writer, runner, new identity?</t>
        </is>
      </c>
      <c r="E143" s="40" t="inlineStr">
        <is>
          <t>Can you gain new insights from this assignment? Always seek to re-invent yourself and build multiple professional identities to adapt to future market demands (inspired by Yuval Noah Harari). Acquire new knowledge, embrace changes, and formulate fresh thoughts. Be a writer, a runner, or adopt a new identity.</t>
        </is>
      </c>
      <c r="F143" s="41" t="inlineStr">
        <is>
          <t>你能從這次的任務中學到新東西嗎？永遠尋求自我重塑，並建立多元身分以適應未來的市場需求（借鑒哈拉瑞思維）。學習新知識、擁抱改變並激發新思維。去成為作家、跑者，或是探索其他全新身分。</t>
        </is>
      </c>
      <c r="G143" s="42" t="inlineStr">
        <is>
          <t>你敢有法度對這回的工課學著新物件？著愛時常自我翻新，養成多元身分來合未來的市場變化（借鑑哈拉瑞的思維）。吸收新學問、順應變化、激盪新念頭。去做作家、走馬拉松的人，抑是開拓各款全新身分。</t>
        </is>
      </c>
      <c r="H143" s="43" t="inlineStr"/>
      <c r="I143" s="39" t="inlineStr"/>
      <c r="J143" s="44" t="inlineStr"/>
      <c r="K143" s="45" t="inlineStr"/>
    </row>
    <row r="144" ht="24" customHeight="1">
      <c r="A144" s="26" t="inlineStr">
        <is>
          <t>Slide 4</t>
        </is>
      </c>
      <c r="B144" s="27" t="inlineStr">
        <is>
          <t>No. 141</t>
        </is>
      </c>
      <c r="C144" s="28" t="inlineStr">
        <is>
          <t>原則 12</t>
        </is>
      </c>
      <c r="D144" s="29" t="inlineStr">
        <is>
          <t>“Father, give us courage to change what must be altered, serenity to accept what cannot be helped, and the insight to know the one from the other.” 「主啊，賜給我勇氣去改變應該改變的事，請賜給我寧靜去接受不可改變的事，並賜給我智慧去分辨兩者的區別。」Item 10. stoicism</t>
        </is>
      </c>
      <c r="E144" s="30" t="inlineStr">
        <is>
          <t>“Father, give us courage to change what must be altered, serenity to accept what cannot be helped, and the insight to know the one from the other.” (Related to Item 10, Stoicism)</t>
        </is>
      </c>
      <c r="F144" s="31" t="inlineStr">
        <is>
          <t>「主啊，賜給我勇氣去改變應該改變的事，請賜給我寧靜去接受不可改變的事，並賜給我智慧去分辨兩者的區別。」（借鑒斯多葛主義，對照第10條）</t>
        </is>
      </c>
      <c r="G144" s="32" t="inlineStr">
        <is>
          <t>「主啊，請賜我勇氣去改變會當改變的代誌，賜我平靜的心去順受改變袂來的代誌，閣賜我智慧去分明兩者的無仝。」（借鑑斯多葛主義，參照第 10 項）</t>
        </is>
      </c>
      <c r="H144" s="33" t="inlineStr"/>
      <c r="I144" s="29" t="inlineStr"/>
      <c r="J144" s="34" t="inlineStr"/>
      <c r="K144" s="35" t="inlineStr"/>
    </row>
    <row r="145" ht="24" customHeight="1">
      <c r="A145" s="36" t="inlineStr">
        <is>
          <t>Slide 4</t>
        </is>
      </c>
      <c r="B145" s="37" t="inlineStr">
        <is>
          <t>No. 142</t>
        </is>
      </c>
      <c r="C145" s="38" t="inlineStr">
        <is>
          <t>原則 8</t>
        </is>
      </c>
      <c r="D145" s="39" t="inlineStr">
        <is>
          <t>Always do reverse thinking. If you don’t do it, what will happen? Item 122. Rethink any anti-facts? Any cost impact or effort? Do less but effectively. Save your bandwidth on the most important things. Worse case</t>
        </is>
      </c>
      <c r="E145" s="40" t="inlineStr">
        <is>
          <t>Consistently practice reverse thinking—ask yourself what would happen if you took no action. Challenge assumptions, evaluate effort versus impact, and eliminate non-essential tasks to conserve your bandwidth for high-value priorities (refer to Item 122).</t>
        </is>
      </c>
      <c r="F145" s="41" t="inlineStr">
        <is>
          <t>養成逆向思考的習慣，反思「如果這件事不做會怎樣？」。挑戰反事實與假設，評估成本與效益，透過減少無效益的投入來放大成效，將資源與精力保留給最重要的事情（參見第 122 項）。</t>
        </is>
      </c>
      <c r="G145" s="42" t="inlineStr">
        <is>
          <t>平時著愛倒頭思考，反省「這層代誌若無做會按怎？」。打破成見佮假定，精算成本佮效益，少做虛工、做少毋過做予精，共精神氣力省落來留予上緊要的代誌。（參照第 122 項）</t>
        </is>
      </c>
      <c r="H145" s="43" t="inlineStr"/>
      <c r="I145" s="39" t="inlineStr"/>
      <c r="J145" s="44" t="inlineStr"/>
      <c r="K145" s="45" t="inlineStr"/>
    </row>
    <row r="146" ht="24" customHeight="1">
      <c r="A146" s="26" t="inlineStr">
        <is>
          <t>Slide 4</t>
        </is>
      </c>
      <c r="B146" s="27" t="inlineStr">
        <is>
          <t>No. 143</t>
        </is>
      </c>
      <c r="C146" s="28" t="inlineStr">
        <is>
          <t>原則 15, 原則 16</t>
        </is>
      </c>
      <c r="D146" s="29" t="inlineStr">
        <is>
          <t>Try to get some training lesson if your company offer as free. Even you need to be a seed to teach later. It will promote your visibility with solid result. Workday, train yourself you are not familiar with.</t>
        </is>
      </c>
      <c r="E146" s="30" t="inlineStr">
        <is>
          <t>Take advantage of free training lessons offered by your company, even if you are required to act as a seed trainer later. This will boost your visibility with tangible achievements. Use platforms like Workday to train in areas you are unfamiliar with.</t>
        </is>
      </c>
      <c r="F146" s="31" t="inlineStr">
        <is>
          <t>積極爭取公司提供的免費培訓課程，即使日後需要擔任種子講師也值得。這能用具體成果提升你的曝光度。利用 Workday 等平台學習你還不熟悉的領域。</t>
        </is>
      </c>
      <c r="G146" s="32" t="inlineStr">
        <is>
          <t>若有會社開辦的免費培訓，著愛骨力爭取，就算日後愛做種子講師嘛真著算。這會當靠實實在在的成績提升你的曝光度。善用 Workday 這款平台，去深造你猶未熟手的領域。</t>
        </is>
      </c>
      <c r="H146" s="33" t="inlineStr"/>
      <c r="I146" s="29" t="inlineStr"/>
      <c r="J146" s="34" t="inlineStr"/>
      <c r="K146" s="35" t="inlineStr"/>
    </row>
    <row r="147" ht="24" customHeight="1">
      <c r="A147" s="36" t="inlineStr">
        <is>
          <t>Slide 4</t>
        </is>
      </c>
      <c r="B147" s="37" t="inlineStr">
        <is>
          <t>No. 144</t>
        </is>
      </c>
      <c r="C147" s="38" t="inlineStr">
        <is>
          <t>原則 14</t>
        </is>
      </c>
      <c r="D147" s="39" t="inlineStr">
        <is>
          <t>Don’t try to be smarter than your boss. Be as a stupid. Keep silence, low profile. Don’t speak out when you reach it.</t>
        </is>
      </c>
      <c r="E147" s="40" t="inlineStr">
        <is>
          <t>Never try to appear smarter than your manager. Sometimes it is wiser to play dumb, keep silent, and maintain a low profile. Do not brag even when you achieve your goals.</t>
        </is>
      </c>
      <c r="F147" s="41" t="inlineStr">
        <is>
          <t>切忌在主管面前表現得比他聰明。有時「大智若愚」是生存之道，保持沉默與低調，即使達成了目標也無須張揚。</t>
        </is>
      </c>
      <c r="G147" s="42" t="inlineStr">
        <is>
          <t>千萬毋通佇主管面前展講家己比伊較巧。有時「大智若愚」才是生存之道，保持恬靜低調，就算達著目標、做出成績，嘛莫四界張揚。</t>
        </is>
      </c>
      <c r="H147" s="43" t="inlineStr"/>
      <c r="I147" s="39" t="inlineStr"/>
      <c r="J147" s="44" t="inlineStr"/>
      <c r="K147" s="45" t="inlineStr"/>
    </row>
    <row r="148" ht="24" customHeight="1">
      <c r="A148" s="26" t="inlineStr">
        <is>
          <t>Slide 4</t>
        </is>
      </c>
      <c r="B148" s="27" t="inlineStr">
        <is>
          <t>No. 145</t>
        </is>
      </c>
      <c r="C148" s="28" t="inlineStr">
        <is>
          <t>原則 16, 原則 17</t>
        </is>
      </c>
      <c r="D148" s="29" t="inlineStr">
        <is>
          <t>Try to introduce yourself with 3, 10 minutes, 30 mins… either in work or in private field or in round-table talk. ( working experience, working year which field, private filed, marathon, novel-writer about historical and political fiction.., current project-what kind of products, usage, application, how to test, any issues…)</t>
        </is>
      </c>
      <c r="E148" s="30" t="inlineStr">
        <is>
          <t>Practice introducing yourself in 3, 10, or 30 minutes, tailored for professional, private, or round-table settings. Be ready to cover your experience, industry tenure, personal achievements (e.g., marathons, writing historical/political novels), and current projects (product types, use cases, applications, testing methods, challenges).</t>
        </is>
      </c>
      <c r="F148" s="31" t="inlineStr">
        <is>
          <t>準備好 3 分鐘、10 分鐘及 30 分鐘的自我介紹，適用於職場、私人聚會或圓桌會議。內容應涵蓋工作經歷、產業資歷、個人興趣（如馬拉松、撰寫歷史與政治小說）以及當前專案（產品類型、用途、應用、測試方法與面臨的問題等）。</t>
        </is>
      </c>
      <c r="G148" s="32" t="inlineStr">
        <is>
          <t>備好 3 分鐘、10 分鐘佮半點鐘的自我介紹，無論是公事場合、私底下聚會抑是圓桌會議攏派會上用場。內容著包攬頭路經歷、行業年資、私底下的趣味（親像走馬拉松、寫歷史政治小說），佮現前的專案（產品種類、用途、應用、按怎檢驗佮所拄著的難題）。</t>
        </is>
      </c>
      <c r="H148" s="33" t="inlineStr"/>
      <c r="I148" s="29" t="inlineStr"/>
      <c r="J148" s="34" t="inlineStr"/>
      <c r="K148" s="35" t="inlineStr"/>
    </row>
    <row r="149" ht="24" customHeight="1">
      <c r="A149" s="36" t="inlineStr">
        <is>
          <t>Slide 4</t>
        </is>
      </c>
      <c r="B149" s="37" t="inlineStr">
        <is>
          <t>No. 146</t>
        </is>
      </c>
      <c r="C149" s="38" t="inlineStr">
        <is>
          <t>原則 16</t>
        </is>
      </c>
      <c r="D149" s="39" t="inlineStr">
        <is>
          <t>Learn to do a long-term project. Item 124. As managing your retire plan. ( investing, learning…etc.) Be patient.</t>
        </is>
      </c>
      <c r="E149" s="40" t="inlineStr">
        <is>
          <t>Learn to manage long-term projects with patience, treating them with the same care as planning for your retirement (e.g., in terms of investing and continuous learning). (Related to Item 124)</t>
        </is>
      </c>
      <c r="F149" s="41" t="inlineStr">
        <is>
          <t>學習操作長期專案，保持耐心，就像規劃自己的退休生活一樣（投資、持續學習等）。（對照第124條）</t>
        </is>
      </c>
      <c r="G149" s="42" t="inlineStr">
        <is>
          <t>學習去操盤長期的專案，心愛定、愛有耐性，就親像規劃家己的退休生活仝款（親像投資理財、持續精進等等）。（參照第 124 項）</t>
        </is>
      </c>
      <c r="H149" s="43" t="inlineStr"/>
      <c r="I149" s="39" t="inlineStr"/>
      <c r="J149" s="44" t="inlineStr"/>
      <c r="K149" s="45" t="inlineStr"/>
    </row>
    <row r="150" ht="24" customHeight="1">
      <c r="A150" s="26" t="inlineStr">
        <is>
          <t>Slide 4</t>
        </is>
      </c>
      <c r="B150" s="27" t="inlineStr">
        <is>
          <t>No. 147</t>
        </is>
      </c>
      <c r="C150" s="28" t="inlineStr">
        <is>
          <t>原則 6</t>
        </is>
      </c>
      <c r="D150" s="29" t="inlineStr">
        <is>
          <t>Root cause vs proximate cause, root cause analysis skill. Problem solving skill. ( BGC thinking) (六頂思考帽) ; green, red, white, blue, black, yellow.</t>
        </is>
      </c>
      <c r="E150" s="30" t="inlineStr">
        <is>
          <t>Distinguish between root causes and proximate causes, and master root-cause analysis and problem-solving skills (e.g., BCG structured thinking and Six Thinking Hats: green, red, white, blue, black, and yellow).</t>
        </is>
      </c>
      <c r="F150" s="31" t="inlineStr">
        <is>
          <t>區分根本原因（Root Cause）與近因（Proximate Cause），掌握根本原因分析與問題解決技巧（如 BCG 結構化思考與六頂思考帽：綠、紅、白、藍、黑、黃）。</t>
        </is>
      </c>
      <c r="G150" s="32" t="inlineStr">
        <is>
          <t>愛分清問題的根本原因佮眼前近因，精通病因探底佮化解難題的本領（親像 BCG 結構思考法，佮六頂思考帽：綠、紅、白、藍、烏、黃）。</t>
        </is>
      </c>
      <c r="H150" s="33" t="inlineStr"/>
      <c r="I150" s="29" t="inlineStr"/>
      <c r="J150" s="34" t="inlineStr"/>
      <c r="K150" s="35" t="inlineStr"/>
    </row>
    <row r="151" ht="24" customHeight="1">
      <c r="A151" s="36" t="inlineStr">
        <is>
          <t>Slide 4</t>
        </is>
      </c>
      <c r="B151" s="37" t="inlineStr">
        <is>
          <t>No. 148</t>
        </is>
      </c>
      <c r="C151" s="38" t="inlineStr">
        <is>
          <t>原則 14, 原則 18</t>
        </is>
      </c>
      <c r="D151" s="39" t="inlineStr">
        <is>
          <t>Although busy, there is a cycle, like market. You won’t fail always. Any fail, as log as you still can stand up, it is good for future. Failure happens. Kill your ego.</t>
        </is>
      </c>
      <c r="E151" s="40" t="inlineStr">
        <is>
          <t>Though busy, recognize that everything runs in cycles, much like the market. You won't fail forever. Any setback, as long as you can get back up, serves as valuable fuel for the future. Failures happen; let go of your ego.</t>
        </is>
      </c>
      <c r="F151" s="41" t="inlineStr">
        <is>
          <t>即使忙碌，也要明白世事如市場般皆有週期循環，你不會一直失敗。任何打擊只要你還站得起來，都是未來的養分。失敗是常態，放下自尊心。</t>
        </is>
      </c>
      <c r="G151" s="42" t="inlineStr">
        <is>
          <t>就算工課千頭萬緒，嘛愛知影世事親像市場行情有起有落，你袂永遠輸落去。任何拍擊只要猶徛會起來，攏是未來的補品養分。跋倒摔傷實屬平常，共身段佮驕氣放落來。</t>
        </is>
      </c>
      <c r="H151" s="43" t="inlineStr"/>
      <c r="I151" s="39" t="inlineStr"/>
      <c r="J151" s="44" t="inlineStr"/>
      <c r="K151" s="45" t="inlineStr"/>
    </row>
    <row r="152" ht="24" customHeight="1">
      <c r="A152" s="26" t="inlineStr">
        <is>
          <t>Slide 4</t>
        </is>
      </c>
      <c r="B152" s="27" t="inlineStr">
        <is>
          <t>No. 149</t>
        </is>
      </c>
      <c r="C152" s="28" t="inlineStr">
        <is>
          <t>原則 17</t>
        </is>
      </c>
      <c r="D152" s="29" t="inlineStr">
        <is>
          <t>Can you / how can you restart when fail? How long can you survive, ex, had been fired or lost in the mountain. Just a temporary. Find another job in a different area? What new hard or soft skill do you need to learn for future?</t>
        </is>
      </c>
      <c r="E152" s="30" t="inlineStr">
        <is>
          <t>How can you restart after a failure, and how long can you survive if you are laid off or stranded? Remember, setbacks are temporary. Can you transition into another domain? What new hard and soft skills must you acquire for the future?</t>
        </is>
      </c>
      <c r="F152" s="31" t="inlineStr">
        <is>
          <t>面對失敗時該如何重新出發？若遭解僱或陷入困境，你能撐多久？請記住這只是暫時的。你是否能跨領域尋找新機會？未來又需要學習哪些新的硬實力與軟實力？</t>
        </is>
      </c>
      <c r="G152" s="32" t="inlineStr">
        <is>
          <t>跋倒的時陣欲按怎重頭起跤？若不幸拄著頭路辭退抑是佇山內迷路受困，你會當擋偌久？請記持這只是暫時的過渡。敢有才調跳槽跨行？為著未來，你閣愛補啥物新的硬工夫佮軟實力？</t>
        </is>
      </c>
      <c r="H152" s="33" t="inlineStr"/>
      <c r="I152" s="29" t="inlineStr"/>
      <c r="J152" s="34" t="inlineStr"/>
      <c r="K152" s="35" t="inlineStr"/>
    </row>
    <row r="153" ht="24" customHeight="1">
      <c r="A153" s="36" t="inlineStr">
        <is>
          <t>Slide 4</t>
        </is>
      </c>
      <c r="B153" s="37" t="inlineStr">
        <is>
          <t>No. 150</t>
        </is>
      </c>
      <c r="C153" s="38" t="inlineStr">
        <is>
          <t>原則 19</t>
        </is>
      </c>
      <c r="D153" s="39" t="inlineStr">
        <is>
          <t>Make sure your energy is full? Sleep enough, over 6 hours at least, eat nutritious, build your mind stronger enough. At least, take a nap after lunch. it is important to commit and aware that you are tired. Eat nutritious food.</t>
        </is>
      </c>
      <c r="E153" s="40" t="inlineStr">
        <is>
          <t>Ensure your energy is fully charged: sleep at least 6 hours, eat nutritious foods, and build mental resilience. Take a nap after lunch. It is critical to listen to your body and admit when you are tired.</t>
        </is>
      </c>
      <c r="F153" s="41" t="inlineStr">
        <is>
          <t>確保自己能量充沛：每天睡眠至少 6 小時以上、攝取營養飲食、鍛鍊強健的心智。午餐後至少小憩片刻。學會自我察覺並承認自己累了，這非常重要。補充足夠營養。</t>
        </is>
      </c>
      <c r="G153" s="42" t="inlineStr">
        <is>
          <t>顧好家己的精氣神：逐工至少愛睏足六點鐘以上、補充有營養的飲食、鍛鍊堅強的心志。中晝食飽愛小歇睏一下。知影自覺、認清家己身軀已經忝矣，這點真要緊。</t>
        </is>
      </c>
      <c r="H153" s="43" t="inlineStr"/>
      <c r="I153" s="39" t="inlineStr"/>
      <c r="J153" s="44" t="inlineStr"/>
      <c r="K153" s="45" t="inlineStr"/>
    </row>
    <row r="154" ht="24" customHeight="1">
      <c r="A154" s="26" t="inlineStr">
        <is>
          <t>Slide 4</t>
        </is>
      </c>
      <c r="B154" s="27" t="inlineStr">
        <is>
          <t>No. 151</t>
        </is>
      </c>
      <c r="C154" s="28" t="inlineStr">
        <is>
          <t>原則 18</t>
        </is>
      </c>
      <c r="D154" s="29" t="inlineStr">
        <is>
          <t>Learn to encourage yourself, treat yourself well. Item 75. know how your body and mind works.</t>
        </is>
      </c>
      <c r="E154" s="30" t="inlineStr">
        <is>
          <t>Learn to encourage yourself and treat yourself well. Understand the mechanics of your body and mind. (Related to Item 75)</t>
        </is>
      </c>
      <c r="F154" s="31" t="inlineStr">
        <is>
          <t>學會自我鼓勵、善待自己。深入理解自己的身心運作機制。（對照第75條）</t>
        </is>
      </c>
      <c r="G154" s="32" t="inlineStr">
        <is>
          <t>愛學會曉共家己加油鼓勵、好好仔款待家己。深透理解家己身心運行的脈絡。（參照第 75 項）</t>
        </is>
      </c>
      <c r="H154" s="33" t="inlineStr"/>
      <c r="I154" s="29" t="inlineStr"/>
      <c r="J154" s="34" t="inlineStr"/>
      <c r="K154" s="35" t="inlineStr"/>
    </row>
    <row r="155" ht="24" customHeight="1">
      <c r="A155" s="36" t="inlineStr">
        <is>
          <t>Slide 4</t>
        </is>
      </c>
      <c r="B155" s="37" t="inlineStr">
        <is>
          <t>No. 152</t>
        </is>
      </c>
      <c r="C155" s="38" t="inlineStr">
        <is>
          <t>原則 20</t>
        </is>
      </c>
      <c r="D155" s="39" t="inlineStr">
        <is>
          <t>Make your habit and behavior consistent between life and work. Calendar alignment.</t>
        </is>
      </c>
      <c r="E155" s="40" t="inlineStr">
        <is>
          <t>Align your habits and behaviors between life and work. Keep your personal and professional calendars synchronized and integrated.</t>
        </is>
      </c>
      <c r="F155" s="41" t="inlineStr">
        <is>
          <t>讓生活與工作上的習慣和行為保持一致。落實行事曆的整合與對齊。</t>
        </is>
      </c>
      <c r="G155" s="42" t="inlineStr">
        <is>
          <t>予日常行事佮工課習慣前後一致，表裡如一。落實個人佮公事行事曆的整合佮對齊。</t>
        </is>
      </c>
      <c r="H155" s="43" t="inlineStr"/>
      <c r="I155" s="39" t="inlineStr"/>
      <c r="J155" s="44" t="inlineStr"/>
      <c r="K155" s="45" t="inlineStr"/>
    </row>
    <row r="156" ht="24" customHeight="1">
      <c r="A156" s="26" t="inlineStr">
        <is>
          <t>Slide 4</t>
        </is>
      </c>
      <c r="B156" s="27" t="inlineStr">
        <is>
          <t>No. 153</t>
        </is>
      </c>
      <c r="C156" s="28" t="inlineStr">
        <is>
          <t>原則 9</t>
        </is>
      </c>
      <c r="D156" s="29" t="inlineStr">
        <is>
          <t>“Most Respectful Interpretation” (MRI) is a delightful solution. MRI says we assume the best of others. MRI suggests that you consider only the best, the kindest, the most helpful interpretation of every communication and respond solely to that version. Or asking more questions to understand what people want. ( curiously and politely)</t>
        </is>
      </c>
      <c r="E156" s="30" t="inlineStr">
        <is>
          <t>"Most Respectful Interpretation" (MRI) is a powerful approach where you assume the best of others. It suggests interpreting every communication in the kindest and most helpful way, and responding only to that positive version. Alternatively, ask clarifying questions politely and curiously to understand their true intent.</t>
        </is>
      </c>
      <c r="F156" s="31" t="inlineStr">
        <is>
          <t>「最善意詮釋」（MRI）是個絕佳的溝通法門，意即凡事先假設他人是出於好意。MRI 建議你在面對任何溝通時，只採用最正面、最溫和、最有建設性的解讀方式，並以此做出回應。或者，帶著好奇與禮貌多問問題，以理解對方的真實意圖。</t>
        </is>
      </c>
      <c r="G156" s="32" t="inlineStr">
        <is>
          <t>「上善意的詮釋」（MRI）是上巧妙的交陪心法，凡事起頭先假定別人是存好心。MRI 建議你面對任何對話交涉，攏先取上光明、上溫和、上建設性的角度去理解佮回覆。抑是心存好奇、帶禮貌加探問幾句，來摸清對方的真心意。</t>
        </is>
      </c>
      <c r="H156" s="33" t="inlineStr"/>
      <c r="I156" s="29" t="inlineStr"/>
      <c r="J156" s="34" t="inlineStr"/>
      <c r="K156" s="35" t="inlineStr"/>
    </row>
    <row r="157" ht="24" customHeight="1">
      <c r="A157" s="36" t="inlineStr">
        <is>
          <t>Slide 4</t>
        </is>
      </c>
      <c r="B157" s="37" t="inlineStr">
        <is>
          <t>No. 154</t>
        </is>
      </c>
      <c r="C157" s="38" t="inlineStr">
        <is>
          <t>原則 18</t>
        </is>
      </c>
      <c r="D157" s="39" t="inlineStr">
        <is>
          <t>Prepare lists of songs, movies and passages or books for your tough times. Item 46.</t>
        </is>
      </c>
      <c r="E157" s="40" t="inlineStr">
        <is>
          <t>Prepare lists of comforting songs, movies, passages, and books to help you navigate through tough times. (Related to Item 46)</t>
        </is>
      </c>
      <c r="F157" s="41" t="inlineStr">
        <is>
          <t>平時準備好能撫慰心靈的歌單、電影、句子或書單，作為度過艱難時刻的心理補給。（對照第46條）</t>
        </is>
      </c>
      <c r="G157" s="42" t="inlineStr">
        <is>
          <t>平素著愛備妥會當撫慰心靈的歌單、電影、好字句抑是冊單，佇艱苦歹過的坎站，當做替心靈補氣的靠山。（參照第 46 項）</t>
        </is>
      </c>
      <c r="H157" s="43" t="inlineStr"/>
      <c r="I157" s="39" t="inlineStr"/>
      <c r="J157" s="44" t="inlineStr"/>
      <c r="K157" s="45" t="inlineStr"/>
    </row>
    <row r="158" ht="24" customHeight="1">
      <c r="A158" s="26" t="inlineStr">
        <is>
          <t>Slide 4</t>
        </is>
      </c>
      <c r="B158" s="27" t="inlineStr">
        <is>
          <t>No. 155</t>
        </is>
      </c>
      <c r="C158" s="28" t="inlineStr">
        <is>
          <t>原則 7</t>
        </is>
      </c>
      <c r="D158" s="29" t="inlineStr">
        <is>
          <t>Done is better than perfect. For some, maybe not start is a better idea.</t>
        </is>
      </c>
      <c r="E158" s="30" t="inlineStr">
        <is>
          <t>Done is better than perfect. However, for certain ill-conceived ideas, not starting at all might be the wiser choice.</t>
        </is>
      </c>
      <c r="F158" s="31" t="inlineStr">
        <is>
          <t>求先有再求好（完成勝過完美）。但對於未成熟或不合適的想法，不盲目啟動或許才是更好的選擇。</t>
        </is>
      </c>
      <c r="G158" s="32" t="inlineStr">
        <is>
          <t>先求做有成，贏過空求完美。毋過若是半生不熟的戇念頭，規氣莫起頭，顛倒才是明智的選擇。</t>
        </is>
      </c>
      <c r="H158" s="33" t="inlineStr"/>
      <c r="I158" s="29" t="inlineStr"/>
      <c r="J158" s="34" t="inlineStr"/>
      <c r="K158" s="35" t="inlineStr"/>
    </row>
    <row r="159" ht="24" customHeight="1">
      <c r="A159" s="36" t="inlineStr">
        <is>
          <t>Slide 4</t>
        </is>
      </c>
      <c r="B159" s="37" t="inlineStr">
        <is>
          <t>No. 156</t>
        </is>
      </c>
      <c r="C159" s="38" t="inlineStr">
        <is>
          <t>原則 13, 原則 16</t>
        </is>
      </c>
      <c r="D159" s="39" t="inlineStr">
        <is>
          <t>Dress, speak and behave decently. Item 104. Every year, do some changes. Try something differently. EX, reading books with different topic / field (literature, psychology, market business), run different speeds, different area, talk to the peoples you don’t know or not familiar with…etc.</t>
        </is>
      </c>
      <c r="E159" s="40" t="inlineStr">
        <is>
          <t>Dress, speak, and act appropriately. Make small changes every year and step out of your comfort zone—read books outside your field (such as literature, psychology, or business), vary your running pace and routes, and engage with unfamiliar people.</t>
        </is>
      </c>
      <c r="F159" s="41" t="inlineStr">
        <is>
          <t>穿著、言語與舉止皆應得體端莊。每年都嘗試一些新改變與突破——例如閱讀不同領域的書籍（人文文學、心理學、市場商業）、改變跑步速度與路線，或主動與不熟悉的人交流。</t>
        </is>
      </c>
      <c r="G159" s="42" t="inlineStr">
        <is>
          <t>穿插、講話佮行止舉動攏著合宜大方（參照第 104 項）。逐年著撥空變換新氣象、開拓新眼界——比論讀無仝領域的冊（文學、心理學、商業市場）、換無仝的步數佮路線慢跑、主動去佮生份的人開講交流。</t>
        </is>
      </c>
      <c r="H159" s="43" t="inlineStr"/>
      <c r="I159" s="39" t="inlineStr"/>
      <c r="J159" s="44" t="inlineStr"/>
      <c r="K159" s="45" t="inlineStr"/>
    </row>
    <row r="160" ht="24" customHeight="1">
      <c r="A160" s="26" t="inlineStr">
        <is>
          <t>Slide 4</t>
        </is>
      </c>
      <c r="B160" s="27" t="inlineStr">
        <is>
          <t>No. 157</t>
        </is>
      </c>
      <c r="C160" s="28" t="inlineStr">
        <is>
          <t>原則 13</t>
        </is>
      </c>
      <c r="D160" s="29" t="inlineStr">
        <is>
          <t>Your weak teammate will help you learn more and be an expert. Save time, let them learn themselves.</t>
        </is>
      </c>
      <c r="E160" s="30" t="inlineStr">
        <is>
          <t>Working with weaker teammates forces you to learn more deeply and become a true expert. However, to save time and foster their growth, guide them to learn independently.</t>
        </is>
      </c>
      <c r="F160" s="31" t="inlineStr">
        <is>
          <t>與能力較弱的隊友合作能促使你深研業務、成長為專家；但為了提升效率與培養他人，應適度放手讓他們自主學習。</t>
        </is>
      </c>
      <c r="G160" s="32" t="inlineStr">
        <is>
          <t>同齊牽成跤步較慢的隊友，會激勵你共業務摸甲閣較精通、變做專家；毋過為著省時間並顧全大局，嘛愛適度放手，引導怹學會曉家己學、家己徛起跤步。</t>
        </is>
      </c>
      <c r="H160" s="33" t="inlineStr"/>
      <c r="I160" s="29" t="inlineStr"/>
      <c r="J160" s="34" t="inlineStr"/>
      <c r="K160" s="35" t="inlineStr"/>
    </row>
    <row r="161" ht="24" customHeight="1">
      <c r="A161" s="36" t="inlineStr">
        <is>
          <t>Slide 4</t>
        </is>
      </c>
      <c r="B161" s="37" t="inlineStr">
        <is>
          <t>No. 158</t>
        </is>
      </c>
      <c r="C161" s="38" t="inlineStr">
        <is>
          <t>原則 9, 原則 13</t>
        </is>
      </c>
      <c r="D161" s="39" t="inlineStr">
        <is>
          <t>Buy you collogues a drink or coffee. To show you do care them. Say thank you.</t>
        </is>
      </c>
      <c r="E161" s="40" t="inlineStr">
        <is>
          <t>Treat your colleagues to a drink or coffee to show genuine care, and always remember to express your sincere gratitude.</t>
        </is>
      </c>
      <c r="F161" s="41" t="inlineStr">
        <is>
          <t>偶爾請同事喝杯飲料或咖啡，表達關心與善意，並適時說聲謝謝。</t>
        </is>
      </c>
      <c r="G161" s="42" t="inlineStr">
        <is>
          <t>時不時請同事啉一杯茶抑是咖啡，表露你內心的體貼佮關心，隨時開喙講一聲勞力多謝。</t>
        </is>
      </c>
      <c r="H161" s="43" t="inlineStr"/>
      <c r="I161" s="39" t="inlineStr"/>
      <c r="J161" s="44" t="inlineStr"/>
      <c r="K161" s="45" t="inlineStr"/>
    </row>
    <row r="162" ht="24" customHeight="1">
      <c r="A162" s="26" t="inlineStr">
        <is>
          <t>Slide 4</t>
        </is>
      </c>
      <c r="B162" s="27" t="inlineStr">
        <is>
          <t>No. 159</t>
        </is>
      </c>
      <c r="C162" s="28" t="inlineStr">
        <is>
          <t>原則 19</t>
        </is>
      </c>
      <c r="D162" s="29" t="inlineStr">
        <is>
          <t>No coffee after 11:00 AM, 3 cups top per day. 1000cc. Per day</t>
        </is>
      </c>
      <c r="E162" s="30" t="inlineStr">
        <is>
          <t>Limit coffee intake: stop drinking coffee after 11:00 AM, capped at a maximum of 3 cups or 1,000 cc per day.</t>
        </is>
      </c>
      <c r="F162" s="31" t="inlineStr">
        <is>
          <t>控制咖啡因攝取：上午 11:00 後不再喝咖啡，每日最多不超過 3 杯（上限 1,000 cc）。</t>
        </is>
      </c>
      <c r="G162" s="32" t="inlineStr">
        <is>
          <t>啉咖啡著愛有節制：頂晝 11 點過後就莫閣啉，一工上濟 3 杯，限制佇 1,000 cc 之內。</t>
        </is>
      </c>
      <c r="H162" s="33" t="inlineStr"/>
      <c r="I162" s="29" t="inlineStr"/>
      <c r="J162" s="34" t="inlineStr"/>
      <c r="K162" s="35" t="inlineStr"/>
    </row>
    <row r="163" ht="24" customHeight="1">
      <c r="A163" s="36" t="inlineStr">
        <is>
          <t>Slide 4</t>
        </is>
      </c>
      <c r="B163" s="37" t="inlineStr">
        <is>
          <t>No. 160</t>
        </is>
      </c>
      <c r="C163" s="38" t="inlineStr">
        <is>
          <t>原則 8</t>
        </is>
      </c>
      <c r="D163" s="39" t="inlineStr">
        <is>
          <t>Is there any better choices for this situation? Ask yourself. Write down, check your principles and rules, notes… anti-fact thinking</t>
        </is>
      </c>
      <c r="E163" s="40" t="inlineStr">
        <is>
          <t>Ask yourself: Are there better choices in this situation? Write them down, review your principles, rules, and notes, and engage in anti-fact thinking.</t>
        </is>
      </c>
      <c r="F163" s="41" t="inlineStr">
        <is>
          <t>自我提問：面對這種情況，是否有更好的選擇？寫下來，檢視你的原則、規則與筆記，進行反事實思考（Anti-fact thinking）。</t>
        </is>
      </c>
      <c r="G163" s="42" t="inlineStr">
        <is>
          <t>反省深思：面對這款局勢，敢猶有閣較好的選擇？白紙烏字寫落來，對照家己的原則、常規佮筆記，練習反事實倒向思考。</t>
        </is>
      </c>
      <c r="H163" s="43" t="inlineStr"/>
      <c r="I163" s="39" t="inlineStr"/>
      <c r="J163" s="44" t="inlineStr"/>
      <c r="K163" s="45" t="inlineStr"/>
    </row>
    <row r="164" ht="24" customHeight="1">
      <c r="A164" s="26" t="inlineStr">
        <is>
          <t>Slide 4</t>
        </is>
      </c>
      <c r="B164" s="27" t="inlineStr">
        <is>
          <t>No. 161</t>
        </is>
      </c>
      <c r="C164" s="28" t="inlineStr">
        <is>
          <t>原則 16</t>
        </is>
      </c>
      <c r="D164" s="29" t="inlineStr">
        <is>
          <t>Check what kind of skills or tools or knowledges needed in coming Years. Item12. List down potential tasks for next year. EY, powerbi, O+, R, python, BB.</t>
        </is>
      </c>
      <c r="E164" s="30" t="inlineStr">
        <is>
          <t>Assess the skills, tools, and knowledge required in the coming years. List prospective projects and capabilities for next year (e.g., Power BI, O+, R, Python, BB).</t>
        </is>
      </c>
      <c r="F164" s="31" t="inlineStr">
        <is>
          <t>盤點未來幾年所需的新技能、工具與專業知識。列出明年的潛在工作任務與學習目標（如 Power BI、O+、R、Python、BB）。</t>
        </is>
      </c>
      <c r="G164" s="32" t="inlineStr">
        <is>
          <t>盤算未來幾年需要啥物新功夫、新工具佮專業知識（參照第 12 項）。提早共明年度可能承接的工課項目佮學習目標列出來（親像 EY、Power BI、O+、R、Python、BB）。</t>
        </is>
      </c>
      <c r="H164" s="33" t="inlineStr"/>
      <c r="I164" s="29" t="inlineStr"/>
      <c r="J164" s="34" t="inlineStr"/>
      <c r="K164" s="35" t="inlineStr"/>
    </row>
    <row r="165" ht="24" customHeight="1">
      <c r="A165" s="36" t="inlineStr">
        <is>
          <t>Slide 4</t>
        </is>
      </c>
      <c r="B165" s="37" t="inlineStr">
        <is>
          <t>No. 162</t>
        </is>
      </c>
      <c r="C165" s="38" t="inlineStr">
        <is>
          <t>原則 12</t>
        </is>
      </c>
      <c r="D165" s="39" t="inlineStr">
        <is>
          <t>Do not talk privacy or complain in social media, ex fb. Away from people who tells about rumors. And office politics.</t>
        </is>
      </c>
      <c r="E165" s="40" t="inlineStr">
        <is>
          <t>Do not share private matters or vent complaints on social media (e.g., Facebook). Stay away from gossipy people and steer clear of office politics.</t>
        </is>
      </c>
      <c r="F165" s="41" t="inlineStr">
        <is>
          <t>切勿在社群媒體（如臉書）上公開私生活或抱怨工作。遠離喜歡散布謠言的人，避開辦公室政治的漩渦。</t>
        </is>
      </c>
      <c r="G165" s="42" t="inlineStr">
        <is>
          <t>千萬莫佇網路社群（親像面冊）公私不分，吐心酸怨嘆工課。閃開愛四界放風聲的人，遠離會社政治的風波。</t>
        </is>
      </c>
      <c r="H165" s="43" t="inlineStr"/>
      <c r="I165" s="39" t="inlineStr"/>
      <c r="J165" s="44" t="inlineStr"/>
      <c r="K165" s="45" t="inlineStr"/>
    </row>
    <row r="166" ht="24" customHeight="1">
      <c r="A166" s="26" t="inlineStr">
        <is>
          <t>Slide 4</t>
        </is>
      </c>
      <c r="B166" s="27" t="inlineStr">
        <is>
          <t>No. 163</t>
        </is>
      </c>
      <c r="C166" s="28" t="inlineStr">
        <is>
          <t>原則 7</t>
        </is>
      </c>
      <c r="D166" s="29" t="inlineStr">
        <is>
          <t>First time right, zero defect and be perfect, they should not be a statement to block us move on. It is always hard to get started.</t>
        </is>
      </c>
      <c r="E166" s="30" t="inlineStr">
        <is>
          <t>Strict slogans like 'first time right', 'zero defect', or 'perfection' should never block us from moving forward. Getting started is always the hardest part; focus on progress over perfection.</t>
        </is>
      </c>
      <c r="F166" s="31" t="inlineStr">
        <is>
          <t>「一次到位」、「零缺失」或「追求完美」不應成為阻礙我們前進的枷鎖。萬事起頭難，先動起來再持續修正。</t>
        </is>
      </c>
      <c r="G166" s="32" t="inlineStr">
        <is>
          <t>「一步到位」、「零缺失」抑是「十全十美」，千萬毋通變做綁跤絆手、阻礙前進的枷鎖。萬事起頭難，先落手起動，才隨時調整修正。</t>
        </is>
      </c>
      <c r="H166" s="33" t="inlineStr"/>
      <c r="I166" s="29" t="inlineStr"/>
      <c r="J166" s="34" t="inlineStr"/>
      <c r="K166" s="35" t="inlineStr"/>
    </row>
    <row r="167" ht="24" customHeight="1">
      <c r="A167" s="36" t="inlineStr">
        <is>
          <t>Slide 4</t>
        </is>
      </c>
      <c r="B167" s="37" t="inlineStr">
        <is>
          <t>No. 164</t>
        </is>
      </c>
      <c r="C167" s="38" t="inlineStr">
        <is>
          <t>原則 11, 原則 13</t>
        </is>
      </c>
      <c r="D167" s="39" t="inlineStr">
        <is>
          <t>When you open your mouth and don't think about your words, if you don't know how to take your words in the first place, don't be clueless. (白目), be careful what you talk to.</t>
        </is>
      </c>
      <c r="E167" s="40" t="inlineStr">
        <is>
          <t>Do not speak without thinking. If you don't know how your words will be received, keep silent. Avoid being clueless (tactless); always choose your audience and words carefully.</t>
        </is>
      </c>
      <c r="F167" s="41" t="inlineStr">
        <is>
          <t>不要說話不經大腦。如果不知道話說出口會造成什麼後果，就先保持沉默。切忌白目（缺乏眼色），與任何人對話都要謹慎。</t>
        </is>
      </c>
      <c r="G167" s="42" t="inlineStr">
        <is>
          <t>開喙講話愛經過大腦。若毋知話講出喙會惹出啥物風波，著先恬恬收喙。切莫白目無看場面，佮任何人開講交談攏著加倍謹慎細膩。</t>
        </is>
      </c>
      <c r="H167" s="43" t="inlineStr"/>
      <c r="I167" s="39" t="inlineStr"/>
      <c r="J167" s="44" t="inlineStr"/>
      <c r="K167" s="45" t="inlineStr"/>
    </row>
    <row r="168" ht="24" customHeight="1">
      <c r="A168" s="26" t="inlineStr">
        <is>
          <t>Slide 4</t>
        </is>
      </c>
      <c r="B168" s="27" t="inlineStr">
        <is>
          <t>No. 165</t>
        </is>
      </c>
      <c r="C168" s="28" t="inlineStr">
        <is>
          <t>原則 16, 原則 20</t>
        </is>
      </c>
      <c r="D168" s="29" t="inlineStr">
        <is>
          <t>Principles and order in life make you successful. Stay the course.</t>
        </is>
      </c>
      <c r="E168" s="30" t="inlineStr">
        <is>
          <t>Principles and order in life build the foundation for success. Establish your rules and stay the course consistently.</t>
        </is>
      </c>
      <c r="F168" s="31" t="inlineStr">
        <is>
          <t>生活中的原則與秩序是成功的基石。建立你的生活常規，並堅定不移地貫徹下去。</t>
        </is>
      </c>
      <c r="G168" s="32" t="inlineStr">
        <is>
          <t>日常生活有規矩佮秩序，是成家立業的基石。定好你的行事作息，心堅定穩當行到底。</t>
        </is>
      </c>
      <c r="H168" s="33" t="inlineStr"/>
      <c r="I168" s="29" t="inlineStr"/>
      <c r="J168" s="34" t="inlineStr"/>
      <c r="K168" s="35" t="inlineStr"/>
    </row>
    <row r="169" ht="24" customHeight="1">
      <c r="A169" s="36" t="inlineStr">
        <is>
          <t>Slide 4</t>
        </is>
      </c>
      <c r="B169" s="37" t="inlineStr">
        <is>
          <t>No. 166</t>
        </is>
      </c>
      <c r="C169" s="38" t="inlineStr">
        <is>
          <t>原則 15, 原則 16</t>
        </is>
      </c>
      <c r="D169" s="39" t="inlineStr">
        <is>
          <t>Get into office earlier. This may impress others and may help develop a good working habit and attitude. Normally, top managers in office early.</t>
        </is>
      </c>
      <c r="E169" s="40" t="inlineStr">
        <is>
          <t>Arriving at the office earlier helps build good working habits and projects a positive attitude. Typically, senior executives arrive early; aligning with this routine can leave a strong impression.</t>
        </is>
      </c>
      <c r="F169" s="41" t="inlineStr">
        <is>
          <t>提早一點到辦公室。這有助於培養良好的工作習慣與積極態度，同時給人留下深刻印象。通常，高階主管都習慣提早到班。</t>
        </is>
      </c>
      <c r="G169" s="42" t="inlineStr">
        <is>
          <t>提早一寡來到會社辦公室。這會當培養好規矩佮骨力的態度，閣會使留予人端莊實在的深刻印象。通常，高階長官攏有早到的習慣。</t>
        </is>
      </c>
      <c r="H169" s="43" t="inlineStr"/>
      <c r="I169" s="39" t="inlineStr"/>
      <c r="J169" s="44" t="inlineStr"/>
      <c r="K169" s="45" t="inlineStr"/>
    </row>
    <row r="170" ht="24" customHeight="1">
      <c r="A170" s="26" t="inlineStr">
        <is>
          <t>Slide 4</t>
        </is>
      </c>
      <c r="B170" s="27" t="inlineStr">
        <is>
          <t>No. 167</t>
        </is>
      </c>
      <c r="C170" s="28" t="inlineStr">
        <is>
          <t>原則 16</t>
        </is>
      </c>
      <c r="D170" s="29" t="inlineStr">
        <is>
          <t>Practice some old (hard or soft) skills and knowledge. And try to teach others. Be a master. Expert mindset.</t>
        </is>
      </c>
      <c r="E170" s="30" t="inlineStr">
        <is>
          <t>Continuously practice and refine your existing hard and soft skills. Try to teach others to consolidate your own understanding, adopting an expert mindset to master your craft.</t>
        </is>
      </c>
      <c r="F170" s="31" t="inlineStr">
        <is>
          <t>複習並熟練已掌握的硬技能與軟實力。嘗試透過教導他人來深化自我理解，以專家思維引領自己成為大師。</t>
        </is>
      </c>
      <c r="G170" s="32" t="inlineStr">
        <is>
          <t>勤加演練已經通曉的軟硬工夫。透過傳授指導別人來深化家己的領悟，抱持宗師匠人的心態，共家己磨練成第一等的大師。</t>
        </is>
      </c>
      <c r="H170" s="33" t="inlineStr"/>
      <c r="I170" s="29" t="inlineStr"/>
      <c r="J170" s="34" t="inlineStr"/>
      <c r="K170" s="35" t="inlineStr"/>
    </row>
    <row r="171" ht="24" customHeight="1">
      <c r="A171" s="36" t="inlineStr">
        <is>
          <t>Slide 4</t>
        </is>
      </c>
      <c r="B171" s="37" t="inlineStr">
        <is>
          <t>No. 168</t>
        </is>
      </c>
      <c r="C171" s="38" t="inlineStr">
        <is>
          <t>原則 10, 原則 15</t>
        </is>
      </c>
      <c r="D171" s="39" t="inlineStr">
        <is>
          <t>Don’t be shy to ask feedback to whom work with you in the past. Even he/she is your boss. You deserved it.</t>
        </is>
      </c>
      <c r="E171" s="40" t="inlineStr">
        <is>
          <t>Do not hesitate to request feedback from past colleagues, collaborators, or managers. Honest feedback is a resource you deserve for your professional growth.</t>
        </is>
      </c>
      <c r="F171" s="41" t="inlineStr">
        <is>
          <t>勇於向過去共事過的同事或主管尋求反饋。這是你理所應得的成長資源，無須感到不好意思。</t>
        </is>
      </c>
      <c r="G171" s="42" t="inlineStr">
        <is>
          <t>放膽向過去作伙拍拚的同仁抑是主管請教回饋。這是你應得的成長養分，免歹勢驚見笑。</t>
        </is>
      </c>
      <c r="H171" s="43" t="inlineStr"/>
      <c r="I171" s="39" t="inlineStr"/>
      <c r="J171" s="44" t="inlineStr"/>
      <c r="K171" s="45" t="inlineStr"/>
    </row>
    <row r="172" ht="24" customHeight="1">
      <c r="A172" s="26" t="inlineStr">
        <is>
          <t>Slide 4</t>
        </is>
      </c>
      <c r="B172" s="27" t="inlineStr">
        <is>
          <t>No. 169</t>
        </is>
      </c>
      <c r="C172" s="28" t="inlineStr">
        <is>
          <t>原則 16</t>
        </is>
      </c>
      <c r="D172" s="29" t="inlineStr">
        <is>
          <t>Once you get bored at work, find interesting points and meanings. Either from your life or from the project. Recall what you had finished and achieved. You may write down what you feel / during the time so you can recall. And think how to make it better or quicker or much automation or think potential risk.</t>
        </is>
      </c>
      <c r="E172" s="30" t="inlineStr">
        <is>
          <t>When work feels boring, search for new meanings or interesting challenges within the project or your personal life. Reflect on past achievements. Documenting your daily insights helps you recall progress and brainstorm ways to speed up, automate, or mitigate risks.</t>
        </is>
      </c>
      <c r="F172" s="31" t="inlineStr">
        <is>
          <t>一旦對工作感到厭倦，主動從中尋找新樂趣與意義，不論是來自專案還是個人生活。回顧已完成的成就，並記錄當下的感受以利日後檢視。思考如何把事情做得更好、更快、更自動化，並預防潛在風險。</t>
        </is>
      </c>
      <c r="G172" s="32" t="inlineStr">
        <is>
          <t>一旦對做工課感覺無味厭倦，主動對專案抑是日常生活中發掘新的趣味佮意義。回想家己過去完成的成果，共當下的感受記錄落來以利日後翻看。細思按怎共代誌做甲閣較好、閣較緊、閣較自動化，並提早防範暗藏的風險。</t>
        </is>
      </c>
      <c r="H172" s="33" t="inlineStr"/>
      <c r="I172" s="29" t="inlineStr"/>
      <c r="J172" s="34" t="inlineStr"/>
      <c r="K172" s="35" t="inlineStr"/>
    </row>
    <row r="173" ht="24" customHeight="1">
      <c r="A173" s="36" t="inlineStr">
        <is>
          <t>Slide 4</t>
        </is>
      </c>
      <c r="B173" s="37" t="inlineStr">
        <is>
          <t>No. 170</t>
        </is>
      </c>
      <c r="C173" s="38" t="inlineStr">
        <is>
          <t>原則 3</t>
        </is>
      </c>
      <c r="D173" s="39" t="inlineStr">
        <is>
          <t>Don't see trifles as evil. Sometimes this is unavoidable. You can try to automate it. Use task-oriented mindset. 10 times fast, make it quick.</t>
        </is>
      </c>
      <c r="E173" s="40" t="inlineStr">
        <is>
          <t>Do not treat tedious daily chores as evils; they are often unavoidable in any job. Adopt a task-oriented mindset, automate them whenever possible, and aim to execute them 10x faster.</t>
        </is>
      </c>
      <c r="F173" s="41" t="inlineStr">
        <is>
          <t>不要將繁瑣雜務視為洪水猛獸，這是職場中不可避免的一部分。保持任務導向思維，嘗試將其自動化，以提升十倍速為目標快速解決它們。</t>
        </is>
      </c>
      <c r="G173" s="42" t="inlineStr">
        <is>
          <t>莫共碎手雜務看做洪水猛獸，這是公事內底難免的常態。抱持任務導向的心胸，設法共伊自動化，以快十倍為目標俐落化解。</t>
        </is>
      </c>
      <c r="H173" s="43" t="inlineStr"/>
      <c r="I173" s="39" t="inlineStr"/>
      <c r="J173" s="44" t="inlineStr"/>
      <c r="K173" s="45" t="inlineStr"/>
    </row>
    <row r="174" ht="24" customHeight="1">
      <c r="A174" s="26" t="inlineStr">
        <is>
          <t>Slide 4</t>
        </is>
      </c>
      <c r="B174" s="27" t="inlineStr">
        <is>
          <t>No. 171</t>
        </is>
      </c>
      <c r="C174" s="28" t="inlineStr">
        <is>
          <t>原則 19</t>
        </is>
      </c>
      <c r="D174" s="29" t="inlineStr">
        <is>
          <t>Train your body physically or mentally or spiritually. You may live much longer than you think. Retire plan, train 2nd skill.</t>
        </is>
      </c>
      <c r="E174" s="30" t="inlineStr">
        <is>
          <t>Train your body, mind, and spirit continuously. You may live and work longer than you anticipate. Invest in retirement planning and acquire a viable second skill.</t>
        </is>
      </c>
      <c r="F174" s="31" t="inlineStr">
        <is>
          <t>持續鍛鍊自己的身體、心理與精神。你的壽命可能比想像中更長，提早規劃退休生活，並培養第二專長技能。</t>
        </is>
      </c>
      <c r="G174" s="32" t="inlineStr">
        <is>
          <t>持續鍛鍊家己的身軀、心智佮精神。人生的年歲可能比你想的閣較長遠，愛提早布局老後退休的生計，精進第二項專門手藝。</t>
        </is>
      </c>
      <c r="H174" s="33" t="inlineStr"/>
      <c r="I174" s="29" t="inlineStr"/>
      <c r="J174" s="34" t="inlineStr"/>
      <c r="K174" s="35" t="inlineStr"/>
    </row>
    <row r="175" ht="24" customHeight="1">
      <c r="A175" s="36" t="inlineStr">
        <is>
          <t>Slide 4</t>
        </is>
      </c>
      <c r="B175" s="37" t="inlineStr">
        <is>
          <t>No. 173</t>
        </is>
      </c>
      <c r="C175" s="38" t="inlineStr">
        <is>
          <t>原則 11</t>
        </is>
      </c>
      <c r="D175" s="39" t="inlineStr">
        <is>
          <t>Keep silence and mouth shut when hearing some rumors. Speak out when you want others know your expertise. Don’t criticize and be humble. (Item 162,190) ; 藏鋒</t>
        </is>
      </c>
      <c r="E175" s="40" t="inlineStr">
        <is>
          <t>Remain silent when encountering gossip or rumors, but speak up confidently when demonstrating your domain expertise. Stay humble, refrain from criticizing others, and practice restraint.</t>
        </is>
      </c>
      <c r="F175" s="41" t="inlineStr">
        <is>
          <t>面對八卦流言保持沈默，但在展現專業能力時大膽發聲。不輕易批評他人，保持謙遜，學會藏鋒守拙。</t>
        </is>
      </c>
      <c r="G175" s="42" t="inlineStr">
        <is>
          <t>聽著閒話謠言著愛喙合絚絚、保持恬靜，毋過佇展現真才實學的時陣著愛大膽開喙。莫隨便批評是非，待人處世謙遜有禮，學會曉藏鋒守拙、不露鋒芒。（參照第 162 佮 190 項）</t>
        </is>
      </c>
      <c r="H175" s="43" t="inlineStr"/>
      <c r="I175" s="39" t="inlineStr"/>
      <c r="J175" s="44" t="inlineStr"/>
      <c r="K175" s="45" t="inlineStr"/>
    </row>
    <row r="176" ht="24" customHeight="1">
      <c r="A176" s="26" t="inlineStr">
        <is>
          <t>Slide 4</t>
        </is>
      </c>
      <c r="B176" s="27" t="inlineStr">
        <is>
          <t>No. 174</t>
        </is>
      </c>
      <c r="C176" s="28" t="inlineStr">
        <is>
          <t>原則 18</t>
        </is>
      </c>
      <c r="D176" s="29" t="inlineStr">
        <is>
          <t>Take a deep breath when you feel pressure, ak-chak. Take a walk. Inhale for 4 seconds Exhale for 8 seconds. Item 174.</t>
        </is>
      </c>
      <c r="E176" s="30" t="inlineStr">
        <is>
          <t>When feeling stressed or frustrated (ak-chak), take a deep breath or step out for a walk. Use the breathing technique: inhale for 4 seconds and exhale for 8 seconds. (Related to Item 174)</t>
        </is>
      </c>
      <c r="F176" s="31" t="inlineStr">
        <is>
          <t>當感到壓力沉重或心情煩悶（台語：鬱卒 ak-chak）時，深呼吸或去散散步。吸氣 4 秒，呼氣 8 秒以調節狀態。（對照第174條）</t>
        </is>
      </c>
      <c r="G176" s="32" t="inlineStr">
        <is>
          <t>當感覺壓力大抑是心頭齷齪（ak-tsak）的時陣，深吸一口氣抑是去外口行行咧。照吸氣 4 秒、吐氣 8 秒的步數來撫平心神。（參照第 174 項）</t>
        </is>
      </c>
      <c r="H176" s="33" t="inlineStr"/>
      <c r="I176" s="29" t="inlineStr"/>
      <c r="J176" s="34" t="inlineStr"/>
      <c r="K176" s="35" t="inlineStr"/>
    </row>
    <row r="177" ht="24" customHeight="1">
      <c r="A177" s="36" t="inlineStr">
        <is>
          <t>Slide 4</t>
        </is>
      </c>
      <c r="B177" s="37" t="inlineStr">
        <is>
          <t>No. 175</t>
        </is>
      </c>
      <c r="C177" s="38" t="inlineStr">
        <is>
          <t>原則 9, 原則 13</t>
        </is>
      </c>
      <c r="D177" s="39" t="inlineStr">
        <is>
          <t>Ask how are they if they feel uncomfortable or when they are sick. Stay with them when they may need support.</t>
        </is>
      </c>
      <c r="E177" s="40" t="inlineStr">
        <is>
          <t>Show empathy by asking how colleagues are doing when they feel unwell or sick. Offer support and stand by them when they need it.</t>
        </is>
      </c>
      <c r="F177" s="41" t="inlineStr">
        <is>
          <t>當同事身體不適或生病時，主動關心慰問。在他們需要支持時給予陪伴與協助，建立溫暖的職場連結。</t>
        </is>
      </c>
      <c r="G177" s="42" t="inlineStr">
        <is>
          <t>同事身軀無爽快抑是破病的時陣，主動向前溫暖問候。佇怹欠人相挺的坎站適時作伴照應，建立有情有義的職場情分。</t>
        </is>
      </c>
      <c r="H177" s="43" t="inlineStr"/>
      <c r="I177" s="39" t="inlineStr"/>
      <c r="J177" s="44" t="inlineStr"/>
      <c r="K177" s="45" t="inlineStr"/>
    </row>
    <row r="178" ht="24" customHeight="1">
      <c r="A178" s="26" t="inlineStr">
        <is>
          <t>Slide 4</t>
        </is>
      </c>
      <c r="B178" s="27" t="inlineStr">
        <is>
          <t>No. 176</t>
        </is>
      </c>
      <c r="C178" s="28" t="inlineStr">
        <is>
          <t>原則 9</t>
        </is>
      </c>
      <c r="D178" s="29" t="inlineStr">
        <is>
          <t>Using soft voice to explain question is what as expertise can do. Item 2, 138.</t>
        </is>
      </c>
      <c r="E178" s="30" t="inlineStr">
        <is>
          <t>Explaining complex issues in a soft, steady, and calm voice is a true hallmark of expertise. (Related to Items 2 and 138)</t>
        </is>
      </c>
      <c r="F178" s="31" t="inlineStr">
        <is>
          <t>能用溫和且堅定的聲音向他人說明複雜問題，才是真正展現專家風範的表現。（對照第2、138條）</t>
        </is>
      </c>
      <c r="G178" s="32" t="inlineStr">
        <is>
          <t>會曉用溫軟穩重的聲調向人解說複雜的問題，這才是真正一等專家展現的風度。（參照第 2 佮 138 項）</t>
        </is>
      </c>
      <c r="H178" s="33" t="inlineStr"/>
      <c r="I178" s="29" t="inlineStr"/>
      <c r="J178" s="34" t="inlineStr"/>
      <c r="K178" s="35" t="inlineStr"/>
    </row>
    <row r="179" ht="24" customHeight="1">
      <c r="A179" s="36" t="inlineStr">
        <is>
          <t>Slide 4</t>
        </is>
      </c>
      <c r="B179" s="37" t="inlineStr">
        <is>
          <t>No. 177</t>
        </is>
      </c>
      <c r="C179" s="38" t="inlineStr">
        <is>
          <t>原則 15, 原則 18</t>
        </is>
      </c>
      <c r="D179" s="39" t="inlineStr">
        <is>
          <t>Enjoy your work or make sure you get pay.</t>
        </is>
      </c>
      <c r="E179" s="40" t="inlineStr">
        <is>
          <t>Either find joy and fulfillment in your work, or at least ensure you are compensated fairly for your time.</t>
        </is>
      </c>
      <c r="F179" s="41" t="inlineStr">
        <is>
          <t>要嘛盡情享受你的工作並從中尋找價值，要嘛確保你付出的時間得到了合理飽滿的報酬。</t>
        </is>
      </c>
      <c r="G179" s="42" t="inlineStr">
        <is>
          <t>毋是真切享受工課、體會價值，就是愛確保家己流血流汗付出的光陰，有換著飽足公道的報酬。</t>
        </is>
      </c>
      <c r="H179" s="43" t="inlineStr"/>
      <c r="I179" s="39" t="inlineStr"/>
      <c r="J179" s="44" t="inlineStr"/>
      <c r="K179" s="45" t="inlineStr"/>
    </row>
    <row r="180" ht="24" customHeight="1">
      <c r="A180" s="26" t="inlineStr">
        <is>
          <t>Slide 4</t>
        </is>
      </c>
      <c r="B180" s="27" t="inlineStr">
        <is>
          <t>No. 178</t>
        </is>
      </c>
      <c r="C180" s="28" t="inlineStr">
        <is>
          <t>原則 18, 原則 19</t>
        </is>
      </c>
      <c r="D180" s="29" t="inlineStr">
        <is>
          <t>Try mediation, sport, sleep, stretch. Item 66. Take a deep breath. Tabata exercise. Inhale for 4 seconds hold 7 sec and exhale for 8 seconds. Item 178</t>
        </is>
      </c>
      <c r="E180" s="30" t="inlineStr">
        <is>
          <t>Manage stress through meditation, sports, sleep, and stretching (Related to Item 66). Take deep breaths using the 4-7-8 method (inhale 4s, hold 7s, exhale 8s) or practice Tabata exercises. (Related to Item 178)</t>
        </is>
      </c>
      <c r="F180" s="31" t="inlineStr">
        <is>
          <t>藉由冥想、運動、充足睡眠與拉伸舒緩壓力（對照第66條）。練習深呼吸（4-7-8 呼吸法：吸氣 4 秒、屏息 7 秒、呼氣 8 秒）或進行 Tabata 間歇訓練。（對照第178條）</t>
        </is>
      </c>
      <c r="G180" s="32" t="inlineStr">
        <is>
          <t>靠靜坐沉思、運動鍛鍊、睏飽歇睏佮筋絡伸展來化解重壓（對照第66條）。練習長深呼吸（4-7-8 呼吸法：吸氣4秒、閉氣7秒、吐氣8秒）抑是跳 Tabata 間歇操。（對照第178條）</t>
        </is>
      </c>
      <c r="H180" s="33" t="inlineStr"/>
      <c r="I180" s="29" t="inlineStr"/>
      <c r="J180" s="34" t="inlineStr"/>
      <c r="K180" s="35" t="inlineStr"/>
    </row>
    <row r="181" ht="24" customHeight="1">
      <c r="A181" s="36" t="inlineStr">
        <is>
          <t>Slide 4</t>
        </is>
      </c>
      <c r="B181" s="37" t="inlineStr">
        <is>
          <t>No. 179</t>
        </is>
      </c>
      <c r="C181" s="38" t="inlineStr">
        <is>
          <t>原則 6, 原則 9</t>
        </is>
      </c>
      <c r="D181" s="39" t="inlineStr">
        <is>
          <t>Use alternative statement, different color means different in different culture. Like red. Don’t use red, people from west country will think it is not good.</t>
        </is>
      </c>
      <c r="E181" s="40" t="inlineStr">
        <is>
          <t>Be mindful of cultural differences in communications; colors carry different meanings across cultures. For example, avoid using red in slides, as Western colleagues may associate it with errors, warnings, or bad performance.</t>
        </is>
      </c>
      <c r="F181" s="41" t="inlineStr">
        <is>
          <t>注意跨文化溝通的差異。不同顏色在不同文化中代表的含義不同（如紅色）。簡報中避免濫用紅色，因為西方同事通常會將其視為警示、錯誤或負面表現的象徵。</t>
        </is>
      </c>
      <c r="G181" s="42" t="inlineStr">
        <is>
          <t>跨文化的應對交涉著愛留心。無仝的顏色佇無仝的風俗文化中含意大無仝（親像紅色）。簡報中切莫濫用紅字紅底，因為西方同事往往共伊看做警訊、出錯抑是赤字虧損的象徵。</t>
        </is>
      </c>
      <c r="H181" s="43" t="inlineStr"/>
      <c r="I181" s="39" t="inlineStr"/>
      <c r="J181" s="44" t="inlineStr"/>
      <c r="K181" s="45" t="inlineStr"/>
    </row>
    <row r="182" ht="24" customHeight="1">
      <c r="A182" s="26" t="inlineStr">
        <is>
          <t>Slide 4</t>
        </is>
      </c>
      <c r="B182" s="27" t="inlineStr">
        <is>
          <t>No. 180</t>
        </is>
      </c>
      <c r="C182" s="28" t="inlineStr">
        <is>
          <t>原則 9, 原則 15</t>
        </is>
      </c>
      <c r="D182" s="29" t="inlineStr">
        <is>
          <t>Speak out your wishes. So, people know you and maybe they may help you or support. And call help if needed. Item 185.</t>
        </is>
      </c>
      <c r="E182" s="30" t="inlineStr">
        <is>
          <t>Express your goals and career desires clearly so that others know how to support or help you. Do not hesitate to call for help when needed. (Related to Items 185)</t>
        </is>
      </c>
      <c r="F182" s="31" t="inlineStr">
        <is>
          <t>勇敢表達你的期望與訴求。這樣別人才知道如何支持與協助你，在需要時大方尋求支援。（對照第185條）</t>
        </is>
      </c>
      <c r="G182" s="32" t="inlineStr">
        <is>
          <t>大方共家己的心願佮企圖講出喙。按呢逐家才知影按怎成全佮鬥相共；一旦欠跤手，閣較愛老實大方開喙求援。（參照第 185 項）</t>
        </is>
      </c>
      <c r="H182" s="33" t="inlineStr"/>
      <c r="I182" s="29" t="inlineStr"/>
      <c r="J182" s="34" t="inlineStr"/>
      <c r="K182" s="35" t="inlineStr"/>
    </row>
    <row r="183" ht="24" customHeight="1">
      <c r="A183" s="36" t="inlineStr">
        <is>
          <t>Slide 4</t>
        </is>
      </c>
      <c r="B183" s="37" t="inlineStr">
        <is>
          <t>No. 181</t>
        </is>
      </c>
      <c r="C183" s="38" t="inlineStr">
        <is>
          <t>原則 10, 原則 12</t>
        </is>
      </c>
      <c r="D183" s="39" t="inlineStr">
        <is>
          <t>Write down meeting minutes and who attends the meeting, especially you want to get approvals. Also request the date for reply if any. Protect yourself.</t>
        </is>
      </c>
      <c r="E183" s="40" t="inlineStr">
        <is>
          <t>Document meeting minutes and compile the attendee list, especially when seeking official approvals. Specify deadlines for replies to establish a paper trail and protect yourself.</t>
        </is>
      </c>
      <c r="F183" s="41" t="inlineStr">
        <is>
          <t>養成撰寫會議記錄並註明與會者的習慣，特別是涉及決策與審查時。註明各窗口回覆的截止日期，以求留下憑據、自我保護。</t>
        </is>
      </c>
      <c r="G183" s="42" t="inlineStr">
        <is>
          <t>定著愛養成寫會議紀錄並記明出席人員的好規矩，特別是牽涉著裁決簽核的關頭。閣愛標明各方回覆的落尾期限，白紙烏字留底做憑據，保護家己周全。</t>
        </is>
      </c>
      <c r="H183" s="43" t="inlineStr"/>
      <c r="I183" s="39" t="inlineStr"/>
      <c r="J183" s="44" t="inlineStr"/>
      <c r="K183" s="45" t="inlineStr"/>
    </row>
    <row r="184" ht="24" customHeight="1">
      <c r="A184" s="26" t="inlineStr">
        <is>
          <t>Slide 4</t>
        </is>
      </c>
      <c r="B184" s="27" t="inlineStr">
        <is>
          <t>No. 182</t>
        </is>
      </c>
      <c r="C184" s="28" t="inlineStr">
        <is>
          <t>原則 9, 原則 13</t>
        </is>
      </c>
      <c r="D184" s="29" t="inlineStr">
        <is>
          <t>Recite a joke then you may use it in one day. However, Make sure people won’t get wrong and misunderstand.</t>
        </is>
      </c>
      <c r="E184" s="30" t="inlineStr">
        <is>
          <t>Keep a few jokes in mind to use as icebreakers when the occasion arises. However, ensure they are appropriate and will not be misunderstood.</t>
        </is>
      </c>
      <c r="F184" s="31" t="inlineStr">
        <is>
          <t>平時記住一兩個笑話，以備在需要破冰的場合使用。但必須確保笑話大方得體，避免引發誤會或尷尬。</t>
        </is>
      </c>
      <c r="G184" s="32" t="inlineStr">
        <is>
          <t>平日記一兩則趣味笑話佇心肝底，等需要打破冷場破冰的時陣派上用場。毋過愛先斟酌笑話內容大方得體，毋通惹人誤解抑是討見笑。</t>
        </is>
      </c>
      <c r="H184" s="33" t="inlineStr"/>
      <c r="I184" s="29" t="inlineStr"/>
      <c r="J184" s="34" t="inlineStr"/>
      <c r="K184" s="35" t="inlineStr"/>
    </row>
    <row r="185" ht="24" customHeight="1">
      <c r="A185" s="36" t="inlineStr">
        <is>
          <t>Slide 4</t>
        </is>
      </c>
      <c r="B185" s="37" t="inlineStr">
        <is>
          <t>No. 183</t>
        </is>
      </c>
      <c r="C185" s="38" t="inlineStr">
        <is>
          <t>原則 3, 原則 16</t>
        </is>
      </c>
      <c r="D185" s="39" t="inlineStr">
        <is>
          <t>Use English to say your culture, history, weather, population, country area. This need practice, find an article and try to memorize it. Or use English to describe your feeling during the day. Find template. Reglion, food culture, geographic, location.</t>
        </is>
      </c>
      <c r="E185" s="40" t="inlineStr">
        <is>
          <t>Practice describing your culture, history, weather, population, and geography in English. Find reference articles to memorize or practice summarizing your daily feelings in English. Prepare templates for topics like religion, food culture, and geographic location.</t>
        </is>
      </c>
      <c r="F185" s="41" t="inlineStr">
        <is>
          <t>練習用英文介紹自己的文化、歷史、氣候、人口與地理環境。可以找範文來背誦，或用英文記錄每日心情。平時針對宗教、飲食文化、地理位置等主題準備好對話範本。</t>
        </is>
      </c>
      <c r="G185" s="42" t="inlineStr">
        <is>
          <t>熟練用英語介紹咱本土的風土文化、歷史、天候、人口佮地理形勢。會使揣好文章來背讀，抑是用英語記落一日的心思。針對宗教信仰、飲食風俗、地理疆域等題目，平素著愛備妥腹案範本。</t>
        </is>
      </c>
      <c r="H185" s="43" t="inlineStr"/>
      <c r="I185" s="39" t="inlineStr"/>
      <c r="J185" s="44" t="inlineStr"/>
      <c r="K185" s="45" t="inlineStr"/>
    </row>
    <row r="186" ht="24" customHeight="1">
      <c r="A186" s="26" t="inlineStr">
        <is>
          <t>Slide 5</t>
        </is>
      </c>
      <c r="B186" s="27" t="inlineStr">
        <is>
          <t>No. 184</t>
        </is>
      </c>
      <c r="C186" s="28" t="inlineStr">
        <is>
          <t>原則 15</t>
        </is>
      </c>
      <c r="D186" s="29" t="inlineStr">
        <is>
          <t>Understand your glass ceiling. What else do you need to break through? Which skill? That is your power of circle, comfort zone. Salary rank. Interest, bonus are based on your KPI and base salary, rank. And each rank has its ceiling. Power of circle. Item 119</t>
        </is>
      </c>
      <c r="E186" s="30" t="inlineStr">
        <is>
          <t>Understand your career's glass ceiling. Identify what skills you need to acquire to break through. Recognize that salary ranks, raises, and bonuses are bound to your KPI and base salary, and each rank has its ceiling. Focus on expanding your circle of competence. (Related to Item 119)</t>
        </is>
      </c>
      <c r="F186" s="31" t="inlineStr">
        <is>
          <t>看清你的職涯玻璃天花板。思考需要突破哪些技能？認識到薪資職等、調薪與獎金均綁定於你的 KPI 與底薪，且每個職等都有其上限。專注於擴展你的能力圈。（對照第119條）</t>
        </is>
      </c>
      <c r="G186" s="32" t="inlineStr">
        <is>
          <t>看清你職涯的玻璃天花板，想看覓需要突破啥物技能？跳出舒適圈，愛知影職等、起薪佮分紅攏縛佇你的 KPI 佮底薪，逐个職等嘛攏有伊的頂限。專心共你的能力圈愈展愈闊。（對照第119條）</t>
        </is>
      </c>
      <c r="H186" s="33" t="inlineStr"/>
      <c r="I186" s="29" t="inlineStr"/>
      <c r="J186" s="34" t="inlineStr"/>
      <c r="K186" s="35" t="inlineStr"/>
    </row>
    <row r="187" ht="24" customHeight="1">
      <c r="A187" s="36" t="inlineStr">
        <is>
          <t>Slide 5</t>
        </is>
      </c>
      <c r="B187" s="37" t="inlineStr">
        <is>
          <t>No. 185</t>
        </is>
      </c>
      <c r="C187" s="38" t="inlineStr">
        <is>
          <t>原則 15</t>
        </is>
      </c>
      <c r="D187" s="39" t="inlineStr">
        <is>
          <t>Speak out what can you offer or contribute? ( Promotion.) Be proactive and ambitious on what you want. Stand to the front. Be bold.</t>
        </is>
      </c>
      <c r="E187" s="40" t="inlineStr">
        <is>
          <t>Clearly communicate what value you can offer or contribute, especially when seeking a promotion. Be proactive, ambitious, and bold about your goals. Stand at the forefront and showcase your worth.</t>
        </is>
      </c>
      <c r="F187" s="41" t="inlineStr">
        <is>
          <t>明確表達你能提供什麼價值與貢獻（特別是爭取升遷時）。對自己想要的目標保持主動與野心，站上第一線，展現膽識。</t>
        </is>
      </c>
      <c r="G187" s="42" t="inlineStr">
        <is>
          <t>講清楚你通貢獻啥物價值（特別是欲爭取升調的時陣）。對家己向望的目標愛主動閣有企圖心，徛出來頭前第一線，展現你的膽量佮魄力。</t>
        </is>
      </c>
      <c r="H187" s="43" t="inlineStr"/>
      <c r="I187" s="39" t="inlineStr"/>
      <c r="J187" s="44" t="inlineStr"/>
      <c r="K187" s="45" t="inlineStr"/>
    </row>
    <row r="188" ht="24" customHeight="1">
      <c r="A188" s="26" t="inlineStr">
        <is>
          <t>Slide 5</t>
        </is>
      </c>
      <c r="B188" s="27" t="inlineStr">
        <is>
          <t>No. 186</t>
        </is>
      </c>
      <c r="C188" s="28" t="inlineStr">
        <is>
          <t>原則 15</t>
        </is>
      </c>
      <c r="D188" s="29" t="inlineStr">
        <is>
          <t>Promote yourself in public or in private. Item 214. But be careful. Be humble. You need solid evidence and speak out.</t>
        </is>
      </c>
      <c r="E188" s="30" t="inlineStr">
        <is>
          <t>Promote yourself in both public and private settings (Related to Item 214). However, balance it with humility. Back up your claims with solid evidence and express them clearly.</t>
        </is>
      </c>
      <c r="F188" s="31" t="inlineStr">
        <is>
          <t>在公開與私下場合都要適度宣傳自己（對照第214條）。但要拿捏分寸、保持謙遜。用堅實的數據與成果做後盾，大方說出來。</t>
        </is>
      </c>
      <c r="G188" s="32" t="inlineStr">
        <is>
          <t>無論公開抑是私底下，攏愛適度表現家己（對照第214條）。毋過分寸愛撙節、態度愛謙虛。用扎實的數據佮成果做靠山，大方講予人知。</t>
        </is>
      </c>
      <c r="H188" s="33" t="inlineStr"/>
      <c r="I188" s="29" t="inlineStr"/>
      <c r="J188" s="34" t="inlineStr"/>
      <c r="K188" s="35" t="inlineStr"/>
    </row>
    <row r="189" ht="24" customHeight="1">
      <c r="A189" s="36" t="inlineStr">
        <is>
          <t>Slide 5</t>
        </is>
      </c>
      <c r="B189" s="37" t="inlineStr">
        <is>
          <t>No. 187</t>
        </is>
      </c>
      <c r="C189" s="38" t="inlineStr">
        <is>
          <t>原則 1, 原則 10</t>
        </is>
      </c>
      <c r="D189" s="39" t="inlineStr">
        <is>
          <t>Understand different time zone for different location. You may know it when inviting a meeting.</t>
        </is>
      </c>
      <c r="E189" s="40" t="inlineStr">
        <is>
          <t>Be mindful of different time zones for global offices. Always verify and account for them when scheduling meetings.</t>
        </is>
      </c>
      <c r="F189" s="41" t="inlineStr">
        <is>
          <t>理解全球各據點的時區差異。在安排或發起跨國會議時，務必提前確認並對齊時間。</t>
        </is>
      </c>
      <c r="G189" s="42" t="inlineStr">
        <is>
          <t>愛了解全球逐个據點的時差。安排抑是召開跨國會議的時陣，定著愛提早對齊時間、斟酌核對看覓。</t>
        </is>
      </c>
      <c r="H189" s="43" t="inlineStr"/>
      <c r="I189" s="39" t="inlineStr"/>
      <c r="J189" s="44" t="inlineStr"/>
      <c r="K189" s="45" t="inlineStr"/>
    </row>
    <row r="190" ht="24" customHeight="1">
      <c r="A190" s="26" t="inlineStr">
        <is>
          <t>Slide 5</t>
        </is>
      </c>
      <c r="B190" s="27" t="inlineStr">
        <is>
          <t>No. 188</t>
        </is>
      </c>
      <c r="C190" s="28" t="inlineStr">
        <is>
          <t>原則 2</t>
        </is>
      </c>
      <c r="D190" s="29" t="inlineStr">
        <is>
          <t>Don't reply so quickly after receiving an email. You can reply but schedule to send it later. Delayed reply.</t>
        </is>
      </c>
      <c r="E190" s="30" t="inlineStr">
        <is>
          <t>Avoid replying to emails too quickly. Write your response, but schedule it to send later to manage expectations and allow time for reflection.</t>
        </is>
      </c>
      <c r="F190" s="31" t="inlineStr">
        <is>
          <t>收到郵件時不要立刻回覆。你可以先寫好回信，但利用延遲發送功能設定在稍後寄出，保留緩衝空間。</t>
        </is>
      </c>
      <c r="G190" s="32" t="inlineStr">
        <is>
          <t>收著批信的時陣莫趕咧隨回批。你會當先寫好回批，用預約寄出的功能設定晏淡薄仔才送出，替家己留一寡喘氣的緩衝空間。</t>
        </is>
      </c>
      <c r="H190" s="33" t="inlineStr"/>
      <c r="I190" s="29" t="inlineStr"/>
      <c r="J190" s="34" t="inlineStr"/>
      <c r="K190" s="35" t="inlineStr"/>
    </row>
    <row r="191" ht="24" customHeight="1">
      <c r="A191" s="36" t="inlineStr">
        <is>
          <t>Slide 5</t>
        </is>
      </c>
      <c r="B191" s="37" t="inlineStr">
        <is>
          <t>No. 189</t>
        </is>
      </c>
      <c r="C191" s="38" t="inlineStr">
        <is>
          <t>原則 16</t>
        </is>
      </c>
      <c r="D191" s="39" t="inlineStr">
        <is>
          <t>Build up your skillset. Do not only take your duties but also go outside of it. Responsibility and accountability.</t>
        </is>
      </c>
      <c r="E191" s="40" t="inlineStr">
        <is>
          <t>Continuously build your skillset. Do not limit yourself strictly to assigned duties; step outside your comfort zone to understand broader responsibility and accountability.</t>
        </is>
      </c>
      <c r="F191" s="41" t="inlineStr">
        <is>
          <t>持續豐富你的技能樹。不要只拘泥於本分，適度跨出職責邊界，釐清「職責」（Responsibility）與「終極責任」（Accountability）的差別。</t>
        </is>
      </c>
      <c r="G191" s="42" t="inlineStr">
        <is>
          <t>持續加強你的本領。莫干焦顧家己的份內工課，適度跨出邊界，分清楚啥物是「份內工課」（Responsibility），啥物是「擔當全局的終極責任」（Accountability）。</t>
        </is>
      </c>
      <c r="H191" s="43" t="inlineStr"/>
      <c r="I191" s="39" t="inlineStr"/>
      <c r="J191" s="44" t="inlineStr"/>
      <c r="K191" s="45" t="inlineStr"/>
    </row>
    <row r="192" ht="24" customHeight="1">
      <c r="A192" s="26" t="inlineStr">
        <is>
          <t>Slide 5</t>
        </is>
      </c>
      <c r="B192" s="27" t="inlineStr">
        <is>
          <t>No. 190</t>
        </is>
      </c>
      <c r="C192" s="28" t="inlineStr">
        <is>
          <t>原則 12</t>
        </is>
      </c>
      <c r="D192" s="29" t="inlineStr">
        <is>
          <t>To avoid a PR (public relation) crisis公關, don't talk about something you don't know with 100% confidence. Even so, someone may distribute your email or message to others, which may mislead someone or someone who may be involved.</t>
        </is>
      </c>
      <c r="E192" s="30" t="inlineStr">
        <is>
          <t>To avoid public relations crises in the office, never speak or write about things you don't know with 100% confidence. Keep in mind that emails and messages can be easily forwarded, which might mislead others or drag unintended stakeholders into issues.</t>
        </is>
      </c>
      <c r="F192" s="31" t="inlineStr">
        <is>
          <t>為避免公關危機，切勿在沒有百分之百把握的情況下議論你不清楚的事。即使你有把握，也要防範他人轉發你的郵件或對話紀錄，這可能會誤導他人或將無關的人捲入糾紛。</t>
        </is>
      </c>
      <c r="G192" s="32" t="inlineStr">
        <is>
          <t>為著防範公關危機，無百分之百把握的代誌就莫烏白議論。就算誠有把握，嘛愛提防別人共你的批信抑是對話轉傳出去，免得誤導別人，抑是共無相干的人拖落水。</t>
        </is>
      </c>
      <c r="H192" s="33" t="inlineStr"/>
      <c r="I192" s="29" t="inlineStr"/>
      <c r="J192" s="34" t="inlineStr"/>
      <c r="K192" s="35" t="inlineStr"/>
    </row>
    <row r="193" ht="24" customHeight="1">
      <c r="A193" s="36" t="inlineStr">
        <is>
          <t>Slide 5</t>
        </is>
      </c>
      <c r="B193" s="37" t="inlineStr">
        <is>
          <t>No. 191</t>
        </is>
      </c>
      <c r="C193" s="38" t="inlineStr">
        <is>
          <t>原則 12</t>
        </is>
      </c>
      <c r="D193" s="39" t="inlineStr">
        <is>
          <t>Be careful what you replied email, others may forward to others. Also be careful what webpages you opened and share to others during video call. Also your oral speech.</t>
        </is>
      </c>
      <c r="E193" s="40" t="inlineStr">
        <is>
          <t>Exercise caution in your email replies, as they can be forwarded to others. Be equally mindful of what webpages you display when sharing your screen during video calls, as well as your verbal remarks.</t>
        </is>
      </c>
      <c r="F193" s="41" t="inlineStr">
        <is>
          <t>寫郵件回信時要非常謹慎，因為內容隨時可能被轉寄。此外，在視訊會議分享螢幕時，要注意已打開的網頁與檔案，口頭發言也要謹慎防範失言。</t>
        </is>
      </c>
      <c r="G193" s="42" t="inlineStr">
        <is>
          <t>回批寫字愛誠細膩，因為內容隨時會予人轉寄出去。視訊開會分享螢幕的時陣，愛注意開起來的網頁佮檔案，開喙講話嘛愛斟酌，莫失言講錯話。</t>
        </is>
      </c>
      <c r="H193" s="43" t="inlineStr"/>
      <c r="I193" s="39" t="inlineStr"/>
      <c r="J193" s="44" t="inlineStr"/>
      <c r="K193" s="45" t="inlineStr"/>
    </row>
    <row r="194" ht="24" customHeight="1">
      <c r="A194" s="26" t="inlineStr">
        <is>
          <t>Slide 5</t>
        </is>
      </c>
      <c r="B194" s="27" t="inlineStr">
        <is>
          <t>No. 192</t>
        </is>
      </c>
      <c r="C194" s="28" t="inlineStr">
        <is>
          <t>原則 14</t>
        </is>
      </c>
      <c r="D194" s="29" t="inlineStr">
        <is>
          <t>Sometimes showing weakness is the best policy when you want to ask for help or support. Keep low profile. Kill your ego. Low profile, focus on output and improvement.</t>
        </is>
      </c>
      <c r="E194" s="30" t="inlineStr">
        <is>
          <t>Sometimes, showing vulnerability or admitting a limitation is the best policy to obtain help or support. Keep a low profile, subdue your ego, and focus strictly on outputs and continuous improvement.</t>
        </is>
      </c>
      <c r="F194" s="31" t="inlineStr">
        <is>
          <t>有時適度示弱是尋求資源與支援的最佳策略。保持低調、放下自尊心，將精力專注於實際產出與持續改善。</t>
        </is>
      </c>
      <c r="G194" s="32" t="inlineStr">
        <is>
          <t>有時陣適度示弱，顛倒是討救兵、借資源上好的步數。維持低調、放落面子佮傲氣，共心神專注佇實質的產出佮持續的精進。</t>
        </is>
      </c>
      <c r="H194" s="33" t="inlineStr"/>
      <c r="I194" s="29" t="inlineStr"/>
      <c r="J194" s="34" t="inlineStr"/>
      <c r="K194" s="35" t="inlineStr"/>
    </row>
    <row r="195" ht="24" customHeight="1">
      <c r="A195" s="36" t="inlineStr">
        <is>
          <t>Slide 5</t>
        </is>
      </c>
      <c r="B195" s="37" t="inlineStr">
        <is>
          <t>No. 193</t>
        </is>
      </c>
      <c r="C195" s="38" t="inlineStr">
        <is>
          <t>原則 14</t>
        </is>
      </c>
      <c r="D195" s="39" t="inlineStr">
        <is>
          <t>You may learn pretending not heard or not seen to avoid unnecessary trouble. ( Ke-siau2), like performing.</t>
        </is>
      </c>
      <c r="E195" s="40" t="inlineStr">
        <is>
          <t>Learn the art of pretending not to hear or see certain things (playing dumb / Ke-siau) to avoid unnecessary workplace drama. Treat it like a performance.</t>
        </is>
      </c>
      <c r="F195" s="41" t="inlineStr">
        <is>
          <t>學會「裝聾作啞」的藝術（台語：假懵 Ke-siau2），避免捲入無謂的職場麻煩。有時職場就像一場表演，不需要戳破所有事。</t>
        </is>
      </c>
      <c r="G195" s="42" t="inlineStr">
        <is>
          <t>愛會曉「假痟」（ké-siáu）、激無知的藝術，免得去惹無要緊的職場麻煩。有時陣佇職場親像咧做戲，一蕊目睭開、一蕊目睭瞌，毋免逐項代誌攏拆破。</t>
        </is>
      </c>
      <c r="H195" s="43" t="inlineStr"/>
      <c r="I195" s="39" t="inlineStr"/>
      <c r="J195" s="44" t="inlineStr"/>
      <c r="K195" s="45" t="inlineStr"/>
    </row>
    <row r="196" ht="24" customHeight="1">
      <c r="A196" s="26" t="inlineStr">
        <is>
          <t>Slide 5</t>
        </is>
      </c>
      <c r="B196" s="27" t="inlineStr">
        <is>
          <t>No. 194</t>
        </is>
      </c>
      <c r="C196" s="28" t="inlineStr">
        <is>
          <t>原則 6, 原則 10</t>
        </is>
      </c>
      <c r="D196" s="29" t="inlineStr">
        <is>
          <t>PREP, point, reason, example, point method to present. ( presentation.)</t>
        </is>
      </c>
      <c r="E196" s="30" t="inlineStr">
        <is>
          <t>Use the PREP method (Point, Reason, Example, Point) to deliver clear, structured, and persuasive presentations.</t>
        </is>
      </c>
      <c r="F196" s="31" t="inlineStr">
        <is>
          <t>運用 PREP 結構（結論-原因-實例-重申結論）來組織發言與簡報，讓溝通高效有說服力。</t>
        </is>
      </c>
      <c r="G196" s="32" t="inlineStr">
        <is>
          <t>運用 PREP 架構（結論-原因-實例-重申結論）來發言佮做簡報，予溝通省氣力、閣有說服力。</t>
        </is>
      </c>
      <c r="H196" s="33" t="inlineStr"/>
      <c r="I196" s="29" t="inlineStr"/>
      <c r="J196" s="34" t="inlineStr"/>
      <c r="K196" s="35" t="inlineStr"/>
    </row>
    <row r="197" ht="24" customHeight="1">
      <c r="A197" s="36" t="inlineStr">
        <is>
          <t>Slide 5</t>
        </is>
      </c>
      <c r="B197" s="37" t="inlineStr">
        <is>
          <t>No. 195</t>
        </is>
      </c>
      <c r="C197" s="38" t="inlineStr">
        <is>
          <t>原則 8, 原則 16</t>
        </is>
      </c>
      <c r="D197" s="39" t="inlineStr">
        <is>
          <t>What can you get / gain / feel from this book, experience or discussion…etc.? Make sure you are not chasing your tail. Did you accumulate relationship, asset, new skill, competency level increase…etc. how much time you spend on those tasks?</t>
        </is>
      </c>
      <c r="E197" s="40" t="inlineStr">
        <is>
          <t>Reflect on what you gained or learned from a book, experience, or discussion. Ensure you are not just busy running in circles ('chasing your tail'). Ask: Am I accumulating professional relationships, assets, new skills, or increasing my competency? Track the time spent on these tasks.</t>
        </is>
      </c>
      <c r="F197" s="41" t="inlineStr">
        <is>
          <t>反思你能從這本書、這段經歷或這次討論中得到或感受到什麼？確保自己不是在原地打轉（追著尾巴跑的無效忙碌）。自問：我有藉此累積人脈、資產、新技能或提昇能力等級嗎？評估你在這些任務上花費的時間是否合乎比例。</t>
        </is>
      </c>
      <c r="G197" s="42" t="inlineStr">
        <is>
          <t>盤算看覓，你對這本冊、這段經歷抑是這擺討論會當得著啥物？確保家己毋是親像狗仔咬尾溜、佇原地玲瓏轉。問家己：我有藉按呢累積著人脈、資產、新工夫，抑是予本領升等無？好好評估你佇遮的工課所開的時間敢有合算。</t>
        </is>
      </c>
      <c r="H197" s="43" t="inlineStr"/>
      <c r="I197" s="39" t="inlineStr"/>
      <c r="J197" s="44" t="inlineStr"/>
      <c r="K197" s="45" t="inlineStr"/>
    </row>
    <row r="198" ht="24" customHeight="1">
      <c r="A198" s="26" t="inlineStr">
        <is>
          <t>Slide 5</t>
        </is>
      </c>
      <c r="B198" s="27" t="inlineStr">
        <is>
          <t>No. 196</t>
        </is>
      </c>
      <c r="C198" s="28" t="inlineStr">
        <is>
          <t>原則 6, 原則 12</t>
        </is>
      </c>
      <c r="D198" s="29" t="inlineStr">
        <is>
          <t>Don’t make unnecessary, involuntary (無意識的) and stupid mistakes. Stay in your power of circle.</t>
        </is>
      </c>
      <c r="E198" s="30" t="inlineStr">
        <is>
          <t>Avoid making careless, involuntary, and avoidable mistakes. Stay focused and operate within your circle of competence.</t>
        </is>
      </c>
      <c r="F198" s="31" t="inlineStr">
        <is>
          <t>避免犯下無謂的、無意識的低級錯誤。保持專注，將行動限縮在自己的能力圈之內。</t>
        </is>
      </c>
      <c r="G198" s="32" t="inlineStr">
        <is>
          <t>莫去犯無要緊、無張持的戇頭錯誤。維持專注，穩穩共跤步踏佇家己的能力圈內底。</t>
        </is>
      </c>
      <c r="H198" s="33" t="inlineStr"/>
      <c r="I198" s="29" t="inlineStr"/>
      <c r="J198" s="34" t="inlineStr"/>
      <c r="K198" s="35" t="inlineStr"/>
    </row>
    <row r="199" ht="24" customHeight="1">
      <c r="A199" s="36" t="inlineStr">
        <is>
          <t>Slide 5</t>
        </is>
      </c>
      <c r="B199" s="37" t="inlineStr">
        <is>
          <t>No. 197</t>
        </is>
      </c>
      <c r="C199" s="38" t="inlineStr">
        <is>
          <t>原則 12</t>
        </is>
      </c>
      <c r="D199" s="39" t="inlineStr">
        <is>
          <t>No politic in the office and discussion with colleagues. 162 item.</t>
        </is>
      </c>
      <c r="E199" s="40" t="inlineStr">
        <is>
          <t>Avoid discussing politics in the office and engaging in gossip with colleagues. (Related to Item 162)</t>
        </is>
      </c>
      <c r="F199" s="41" t="inlineStr">
        <is>
          <t>避免在辦公室裡討論政治話題，或與同事參與八卦閒聊。（對照第162條）</t>
        </is>
      </c>
      <c r="G199" s="42" t="inlineStr">
        <is>
          <t>莫佇辦公室議論政治是非，嘛莫佮同事講五四三的八卦閒話。（對照第162條）</t>
        </is>
      </c>
      <c r="H199" s="43" t="inlineStr"/>
      <c r="I199" s="39" t="inlineStr"/>
      <c r="J199" s="44" t="inlineStr"/>
      <c r="K199" s="45" t="inlineStr"/>
    </row>
    <row r="200" ht="24" customHeight="1">
      <c r="A200" s="26" t="inlineStr">
        <is>
          <t>Slide 5</t>
        </is>
      </c>
      <c r="B200" s="27" t="inlineStr">
        <is>
          <t>No. 198</t>
        </is>
      </c>
      <c r="C200" s="28" t="inlineStr">
        <is>
          <t>原則 12</t>
        </is>
      </c>
      <c r="D200" s="29" t="inlineStr">
        <is>
          <t>Don’t jump to others’ arguments. Keep distance.</t>
        </is>
      </c>
      <c r="E200" s="30" t="inlineStr">
        <is>
          <t>Do not get dragged into other people's arguments. Maintain a professional distance.</t>
        </is>
      </c>
      <c r="F200" s="31" t="inlineStr">
        <is>
          <t>不要隨意介入他人的爭執或辯論，保持中立與安全距離。</t>
        </is>
      </c>
      <c r="G200" s="32" t="inlineStr">
        <is>
          <t>毋通插手別人的計較佮冤家，閃予開、保持中立佮安全距離。</t>
        </is>
      </c>
      <c r="H200" s="33" t="inlineStr"/>
      <c r="I200" s="29" t="inlineStr"/>
      <c r="J200" s="34" t="inlineStr"/>
      <c r="K200" s="35" t="inlineStr"/>
    </row>
    <row r="201" ht="24" customHeight="1">
      <c r="A201" s="36" t="inlineStr">
        <is>
          <t>Slide 5</t>
        </is>
      </c>
      <c r="B201" s="37" t="inlineStr">
        <is>
          <t>No. 199</t>
        </is>
      </c>
      <c r="C201" s="38" t="inlineStr">
        <is>
          <t>原則 14</t>
        </is>
      </c>
      <c r="D201" s="39" t="inlineStr">
        <is>
          <t>Don’t feel anxious when people have more comments (suggestions). They will help you. It is good to have this kind of positive thinking instead of negative. Kill your ego.</t>
        </is>
      </c>
      <c r="E201" s="40" t="inlineStr">
        <is>
          <t>Do not feel anxious when others offer feedback or suggestions. Reframe it positively: they are resources helping you improve. Kill your ego and embrace feedback.</t>
        </is>
      </c>
      <c r="F201" s="41" t="inlineStr">
        <is>
          <t>當他人提出較多意見或建議時，不要感到焦慮。轉念思考：這些意見能幫助你做得更好。放下自尊心，用正面思維擁抱回饋。</t>
        </is>
      </c>
      <c r="G201" s="42" t="inlineStr">
        <is>
          <t>別人意見較濟、點出問題的時陣，莫煩惱操煩。轉念想看覓：遮的建議是欲來鬥相共你的。放落面子佮自尊心，用正面開闊的心態來接納回饋。</t>
        </is>
      </c>
      <c r="H201" s="43" t="inlineStr"/>
      <c r="I201" s="39" t="inlineStr"/>
      <c r="J201" s="44" t="inlineStr"/>
      <c r="K201" s="45" t="inlineStr"/>
    </row>
    <row r="202" ht="24" customHeight="1">
      <c r="A202" s="26" t="inlineStr">
        <is>
          <t>Slide 5</t>
        </is>
      </c>
      <c r="B202" s="27" t="inlineStr">
        <is>
          <t>No. 200</t>
        </is>
      </c>
      <c r="C202" s="28" t="inlineStr">
        <is>
          <t>原則 8, 原則 16</t>
        </is>
      </c>
      <c r="D202" s="29" t="inlineStr">
        <is>
          <t>Any benefit or added value for the work you are doing now. Ask yourself. What skillset should be added.</t>
        </is>
      </c>
      <c r="E202" s="30" t="inlineStr">
        <is>
          <t>Ask yourself: What is the benefit or added value of the task you are currently performing? Identify what skillsets you need to acquire to enhance its value.</t>
        </is>
      </c>
      <c r="F202" s="31" t="inlineStr">
        <is>
          <t>自問：你目前正在做的工作有什麼效益或附加價值？為此，你還需要補充哪些技能組合？</t>
        </is>
      </c>
      <c r="G202" s="32" t="inlineStr">
        <is>
          <t>定定問家己：這馬手頭咧做的工課，到底有啥物效益佮附加價值？為著按呢，你猶愛補充啥物本領佮工夫？</t>
        </is>
      </c>
      <c r="H202" s="33" t="inlineStr"/>
      <c r="I202" s="29" t="inlineStr"/>
      <c r="J202" s="34" t="inlineStr"/>
      <c r="K202" s="35" t="inlineStr"/>
    </row>
    <row r="203" ht="24" customHeight="1">
      <c r="A203" s="36" t="inlineStr">
        <is>
          <t>Slide 5</t>
        </is>
      </c>
      <c r="B203" s="37" t="inlineStr">
        <is>
          <t>No. 201</t>
        </is>
      </c>
      <c r="C203" s="38" t="inlineStr">
        <is>
          <t>原則 2, 原則 8</t>
        </is>
      </c>
      <c r="D203" s="39" t="inlineStr">
        <is>
          <t>Reduce the number of emails you send. To avoid unnecessary reply. Don’t send over 8 emails per day.</t>
        </is>
      </c>
      <c r="E203" s="40" t="inlineStr">
        <is>
          <t>Reduce the volume of emails you send to prevent unnecessary back-and-forth threads. Aim to send no more than 8 emails a day.</t>
        </is>
      </c>
      <c r="F203" s="41" t="inlineStr">
        <is>
          <t>減少主動發信的數量，以避免招致無謂的郵件拉扯。設定目標：每天發信不超過 8 封。</t>
        </is>
      </c>
      <c r="G203" s="42" t="inlineStr">
        <is>
          <t>減少主動寄批的數量，省得惹來無要緊的批信往來。替家己立下規矩：一工寄批莫超過 8 封。</t>
        </is>
      </c>
      <c r="H203" s="43" t="inlineStr"/>
      <c r="I203" s="39" t="inlineStr"/>
      <c r="J203" s="44" t="inlineStr"/>
      <c r="K203" s="45" t="inlineStr"/>
    </row>
    <row r="204" ht="24" customHeight="1">
      <c r="A204" s="26" t="inlineStr">
        <is>
          <t>Slide 5</t>
        </is>
      </c>
      <c r="B204" s="27" t="inlineStr">
        <is>
          <t>No. 202</t>
        </is>
      </c>
      <c r="C204" s="28" t="inlineStr">
        <is>
          <t>原則 16</t>
        </is>
      </c>
      <c r="D204" s="29" t="inlineStr">
        <is>
          <t>Ask you questions if no one ask you. Beyond your expectation, you can be better or excellent. Review your achievement or what you had done in the end of week or day. Better have a roadmap for your career and financial plan.</t>
        </is>
      </c>
      <c r="E204" s="30" t="inlineStr">
        <is>
          <t>Ask yourself questions if no one else does. Challenge yourself to exceed expectations and achieve excellence. Review your progress and achievements at the end of each day or week, and maintain a clear career and financial roadmap.</t>
        </is>
      </c>
      <c r="F204" s="31" t="inlineStr">
        <is>
          <t>如果沒人質問你，就自我提問。自我挑戰以超越預期、追求卓越。在每天或每週結束時，盤點自己的成果與表現，並為個人職涯與財務規劃制定清晰的路線圖。</t>
        </is>
      </c>
      <c r="G204" s="32" t="inlineStr">
        <is>
          <t>若無人問你，著愛家己問家己。要求家己超越原本的標準、追求頂尖。逐工抑是逐禮拜收工的時陣，盤點家己的成果佮表現，替職涯佮財務規劃清楚的路線圖。</t>
        </is>
      </c>
      <c r="H204" s="33" t="inlineStr"/>
      <c r="I204" s="29" t="inlineStr"/>
      <c r="J204" s="34" t="inlineStr"/>
      <c r="K204" s="35" t="inlineStr"/>
    </row>
    <row r="205" ht="24" customHeight="1">
      <c r="A205" s="36" t="inlineStr">
        <is>
          <t>Slide 5</t>
        </is>
      </c>
      <c r="B205" s="37" t="inlineStr">
        <is>
          <t>No. 203</t>
        </is>
      </c>
      <c r="C205" s="38" t="inlineStr">
        <is>
          <t>原則 4</t>
        </is>
      </c>
      <c r="D205" s="39" t="inlineStr">
        <is>
          <t>Don’t trust your memory but your notes, data and facts. Take a digital notes. Using good rules of note-taking.</t>
        </is>
      </c>
      <c r="E205" s="40" t="inlineStr">
        <is>
          <t>Never rely on memory alone; trust only your notes, objective data, and verified facts. Develop a good digital note-taking system using consistent formatting rules.</t>
        </is>
      </c>
      <c r="F205" s="41" t="inlineStr">
        <is>
          <t>不要依賴大腦記憶，只信賴你的筆記、數據與事實。養成數位筆記的習慣，並建立良好的檔案命名與組織規範。</t>
        </is>
      </c>
      <c r="G205" s="42" t="inlineStr">
        <is>
          <t>毋通干焦靠頭殼的記持，愛相信你的筆記、數據佮事實。養成做數位筆記的習慣，建立良好的筆記規矩佮檔案整理規範。</t>
        </is>
      </c>
      <c r="H205" s="43" t="inlineStr"/>
      <c r="I205" s="39" t="inlineStr"/>
      <c r="J205" s="44" t="inlineStr"/>
      <c r="K205" s="45" t="inlineStr"/>
    </row>
    <row r="206" ht="24" customHeight="1">
      <c r="A206" s="26" t="inlineStr">
        <is>
          <t>Slide 5</t>
        </is>
      </c>
      <c r="B206" s="27" t="inlineStr">
        <is>
          <t>No. 204</t>
        </is>
      </c>
      <c r="C206" s="28" t="inlineStr">
        <is>
          <t>原則 10</t>
        </is>
      </c>
      <c r="D206" s="29" t="inlineStr">
        <is>
          <t>Focus on the agenda. Otherwise, It can lead to a fragmented discussion. To avoid diverge</t>
        </is>
      </c>
      <c r="E206" s="30" t="inlineStr">
        <is>
          <t>Keep discussions strictly focused on the meeting agenda to prevent fragmented debates and avoid diverging from the main topic.</t>
        </is>
      </c>
      <c r="F206" s="31" t="inlineStr">
        <is>
          <t>開會時務必緊扣議程，避免話題發散導致討論碎片化與失焦。</t>
        </is>
      </c>
      <c r="G206" s="32" t="inlineStr">
        <is>
          <t>開會定著愛對準議程，免得話題走精，舞甲討論散去、失去焦點。</t>
        </is>
      </c>
      <c r="H206" s="33" t="inlineStr"/>
      <c r="I206" s="29" t="inlineStr"/>
      <c r="J206" s="34" t="inlineStr"/>
      <c r="K206" s="35" t="inlineStr"/>
    </row>
    <row r="207" ht="24" customHeight="1">
      <c r="A207" s="36" t="inlineStr">
        <is>
          <t>Slide 5</t>
        </is>
      </c>
      <c r="B207" s="37" t="inlineStr">
        <is>
          <t>No. 205</t>
        </is>
      </c>
      <c r="C207" s="38" t="inlineStr">
        <is>
          <t>原則 13</t>
        </is>
      </c>
      <c r="D207" s="39" t="inlineStr">
        <is>
          <t>It is not your responsibility or obligation to help your colleagues grown unless someone ask you. Invest yourself first.</t>
        </is>
      </c>
      <c r="E207" s="40" t="inlineStr">
        <is>
          <t>It is not your duty or obligation to manage your colleagues' professional growth unless they explicitly ask for your help. Prioritize investing in yourself first.</t>
        </is>
      </c>
      <c r="F207" s="41" t="inlineStr">
        <is>
          <t>除非同事主動尋求協助，否則幫助同事成長並非你的職責或義務。先投資並照顧好自己。（對照第234條）</t>
        </is>
      </c>
      <c r="G207" s="42" t="inlineStr">
        <is>
          <t>除非同事主動開喙請教，若無，牽教怹成長並毋是你的本分抑是義務。先投資家己、共家己顧予好。（對照第234條）</t>
        </is>
      </c>
      <c r="H207" s="43" t="inlineStr"/>
      <c r="I207" s="39" t="inlineStr"/>
      <c r="J207" s="44" t="inlineStr"/>
      <c r="K207" s="45" t="inlineStr"/>
    </row>
    <row r="208" ht="24" customHeight="1">
      <c r="A208" s="26" t="inlineStr">
        <is>
          <t>Slide 5</t>
        </is>
      </c>
      <c r="B208" s="27" t="inlineStr">
        <is>
          <t>No. 206</t>
        </is>
      </c>
      <c r="C208" s="28" t="inlineStr">
        <is>
          <t>原則 3, 原則 6</t>
        </is>
      </c>
      <c r="D208" s="29" t="inlineStr">
        <is>
          <t>Use one page / template to explain/propose your idea. It helps to avoid misleading when using non-mother language.</t>
        </is>
      </c>
      <c r="E208" s="30" t="inlineStr">
        <is>
          <t>Use a one-page summary or a structured template to explain and pitch your ideas. This is especially helpful in preventing misunderstandings when communicating in a second language.</t>
        </is>
      </c>
      <c r="F208" s="31" t="inlineStr">
        <is>
          <t>嘗試用一頁紙或標準範本來呈現及提案你的想法。在以非母語溝通時，這能有效防止資訊失真與誤解。</t>
        </is>
      </c>
      <c r="G208" s="32" t="inlineStr">
        <is>
          <t>試看覓用一頁紙抑是標準範本來說明你的提案。尤其咧用外語溝通的時陣，按呢上會當防範意思走精佮誤會。</t>
        </is>
      </c>
      <c r="H208" s="33" t="inlineStr"/>
      <c r="I208" s="29" t="inlineStr"/>
      <c r="J208" s="34" t="inlineStr"/>
      <c r="K208" s="35" t="inlineStr"/>
    </row>
    <row r="209" ht="24" customHeight="1">
      <c r="A209" s="36" t="inlineStr">
        <is>
          <t>Slide 5</t>
        </is>
      </c>
      <c r="B209" s="37" t="inlineStr">
        <is>
          <t>No. 207</t>
        </is>
      </c>
      <c r="C209" s="38" t="inlineStr">
        <is>
          <t>原則 10</t>
        </is>
      </c>
      <c r="D209" s="39" t="inlineStr">
        <is>
          <t>Always have eye contact when you talk to people. ( see a certain point on their face.)</t>
        </is>
      </c>
      <c r="E209" s="40" t="inlineStr">
        <is>
          <t>Maintain eye contact when speaking to others. If uncomfortable looking directly at their eyes, focus on a specific point on their face (like the bridge of the nose).</t>
        </is>
      </c>
      <c r="F209" s="41" t="inlineStr">
        <is>
          <t>與人交談時保持眼神接觸。如果直視眼睛感到不自在，可以盯著對方臉上的某個點（如鼻樑）。</t>
        </is>
      </c>
      <c r="G209" s="42" t="inlineStr">
        <is>
          <t>佮人開講交談著愛有目神接觸。若是直直看對方的目睭感覺無自在，會使注神看伊面頂的某一个所在（親像鼻梁）。</t>
        </is>
      </c>
      <c r="H209" s="43" t="inlineStr"/>
      <c r="I209" s="39" t="inlineStr"/>
      <c r="J209" s="44" t="inlineStr"/>
      <c r="K209" s="45" t="inlineStr"/>
    </row>
    <row r="210" ht="24" customHeight="1">
      <c r="A210" s="26" t="inlineStr">
        <is>
          <t>Slide 5</t>
        </is>
      </c>
      <c r="B210" s="27" t="inlineStr">
        <is>
          <t>No. 208</t>
        </is>
      </c>
      <c r="C210" s="28" t="inlineStr">
        <is>
          <t>原則 9, 原則 13</t>
        </is>
      </c>
      <c r="D210" s="29" t="inlineStr">
        <is>
          <t>Give your blessing for someone’s birthday or in new year or festival holiday. You can make a name list. Just leave a message.</t>
        </is>
      </c>
      <c r="E210" s="30" t="inlineStr">
        <is>
          <t>Send greetings for birthdays, the New Year, or major holidays. Keep a contact list and send a brief, thoughtful message to maintain professional relations.</t>
        </is>
      </c>
      <c r="F210" s="31" t="inlineStr">
        <is>
          <t>在同事生日、新年或重大節日送上祝福。平時可整理一份聯絡清單，發個簡單的訊息維繫職場人際溫度。</t>
        </is>
      </c>
      <c r="G210" s="32" t="inlineStr">
        <is>
          <t>佇同仁生日、新正抑是逢年過節的時陣送上祝福。平時留一份聯絡名冊，傳一句簡單的問候，維持職場的人情溫度。</t>
        </is>
      </c>
      <c r="H210" s="33" t="inlineStr"/>
      <c r="I210" s="29" t="inlineStr"/>
      <c r="J210" s="34" t="inlineStr"/>
      <c r="K210" s="35" t="inlineStr"/>
    </row>
    <row r="211" ht="24" customHeight="1">
      <c r="A211" s="36" t="inlineStr">
        <is>
          <t>Slide 5</t>
        </is>
      </c>
      <c r="B211" s="37" t="inlineStr">
        <is>
          <t>No. 209</t>
        </is>
      </c>
      <c r="C211" s="38" t="inlineStr">
        <is>
          <t>原則 3</t>
        </is>
      </c>
      <c r="D211" s="39" t="inlineStr">
        <is>
          <t>You cannot check data efficiency without template. You may leverage from others or created by yourself. Productivity.</t>
        </is>
      </c>
      <c r="E211" s="40" t="inlineStr">
        <is>
          <t>Without standard templates, you cannot evaluate data efficiency systematically. Create your own or leverage existing ones to boost productivity.</t>
        </is>
      </c>
      <c r="F211" s="41" t="inlineStr">
        <is>
          <t>缺乏標準範本，就無法系統性地檢視數據的處理效率。借鑑他人或自己設計範本，以提高生產力。</t>
        </is>
      </c>
      <c r="G211" s="42" t="inlineStr">
        <is>
          <t>若是無標準範本，就無法度系統化檢驗處理數據的效率。通借用別人的模盤抑是家己起模，提升生產力。</t>
        </is>
      </c>
      <c r="H211" s="43" t="inlineStr"/>
      <c r="I211" s="39" t="inlineStr"/>
      <c r="J211" s="44" t="inlineStr"/>
      <c r="K211" s="45" t="inlineStr"/>
    </row>
    <row r="212" ht="24" customHeight="1">
      <c r="A212" s="26" t="inlineStr">
        <is>
          <t>Slide 5</t>
        </is>
      </c>
      <c r="B212" s="27" t="inlineStr">
        <is>
          <t>No. 210</t>
        </is>
      </c>
      <c r="C212" s="28" t="inlineStr">
        <is>
          <t>原則 3</t>
        </is>
      </c>
      <c r="D212" s="29" t="inlineStr">
        <is>
          <t>Run your templates to make sure you won’t forget. Or check that your expertise/skills are up-to-date and not unfamiliar due to unused.</t>
        </is>
      </c>
      <c r="E212" s="30" t="inlineStr">
        <is>
          <t>Regularly run and test your templates to keep your workflows fresh. Ensure your skills and expertise remain up-to-date rather than rusting from disuse.</t>
        </is>
      </c>
      <c r="F212" s="31" t="inlineStr">
        <is>
          <t>定期運作與測試你的工作範本以維持熟練度。確認你的專業技能始終跟上最新狀態，避免因久未使用而生疏。</t>
        </is>
      </c>
      <c r="G212" s="32" t="inlineStr">
        <is>
          <t>定定操作佮測試你的工作範本來維持熟手。確認你的專業工夫有綴著最新進度，莫因為久無用就生疏去。</t>
        </is>
      </c>
      <c r="H212" s="33" t="inlineStr"/>
      <c r="I212" s="29" t="inlineStr"/>
      <c r="J212" s="34" t="inlineStr"/>
      <c r="K212" s="35" t="inlineStr"/>
    </row>
    <row r="213" ht="24" customHeight="1">
      <c r="A213" s="36" t="inlineStr">
        <is>
          <t>Slide 5</t>
        </is>
      </c>
      <c r="B213" s="37" t="inlineStr">
        <is>
          <t>No. 211</t>
        </is>
      </c>
      <c r="C213" s="38" t="inlineStr">
        <is>
          <t>原則 1, 原則 20</t>
        </is>
      </c>
      <c r="D213" s="39" t="inlineStr">
        <is>
          <t>Turn off laptop when leaving office and clean desktop. Restart with sense of ritual. Item 268</t>
        </is>
      </c>
      <c r="E213" s="40" t="inlineStr">
        <is>
          <t>Shut down your laptop and clean your physical desk when leaving the office. Treat this routine as a ritual for a fresh start next time. (Related to Item 268)</t>
        </is>
      </c>
      <c r="F213" s="41" t="inlineStr">
        <is>
          <t>下班離開辦公室前，確實關閉電腦並清理乾淨桌面。用儀式感結束工作，以便下次有好的開始。（對照第268條）</t>
        </is>
      </c>
      <c r="G213" s="42" t="inlineStr">
        <is>
          <t>落班欲離開辦公室進前，確實共電腦關機、共桌頂收予清氣。用這種儀式感收工，後擺開工才有順遂的好起頭。（對照第268條）</t>
        </is>
      </c>
      <c r="H213" s="43" t="inlineStr"/>
      <c r="I213" s="39" t="inlineStr"/>
      <c r="J213" s="44" t="inlineStr"/>
      <c r="K213" s="45" t="inlineStr"/>
    </row>
    <row r="214" ht="24" customHeight="1">
      <c r="A214" s="26" t="inlineStr">
        <is>
          <t>Slide 5</t>
        </is>
      </c>
      <c r="B214" s="27" t="inlineStr">
        <is>
          <t>No. 212</t>
        </is>
      </c>
      <c r="C214" s="28" t="inlineStr">
        <is>
          <t>原則 15</t>
        </is>
      </c>
      <c r="D214" s="29" t="inlineStr">
        <is>
          <t>Learn / observe your lead or manager’s habit.</t>
        </is>
      </c>
      <c r="E214" s="30" t="inlineStr">
        <is>
          <t>Observe and understand the habits, working style, and preferences of your lead or manager.</t>
        </is>
      </c>
      <c r="F214" s="31" t="inlineStr">
        <is>
          <t>細心觀察並理解你的直屬主管或經理的工作習慣、偏好與節奏。</t>
        </is>
      </c>
      <c r="G214" s="32" t="inlineStr">
        <is>
          <t>細膩觀察佮了解你的主管抑是經理做代誌的慣勢、偏好佮步調。</t>
        </is>
      </c>
      <c r="H214" s="33" t="inlineStr"/>
      <c r="I214" s="29" t="inlineStr"/>
      <c r="J214" s="34" t="inlineStr"/>
      <c r="K214" s="35" t="inlineStr"/>
    </row>
    <row r="215" ht="24" customHeight="1">
      <c r="A215" s="36" t="inlineStr">
        <is>
          <t>Slide 5</t>
        </is>
      </c>
      <c r="B215" s="37" t="inlineStr">
        <is>
          <t>No. 213</t>
        </is>
      </c>
      <c r="C215" s="38" t="inlineStr">
        <is>
          <t>原則 16, 原則 18</t>
        </is>
      </c>
      <c r="D215" s="39" t="inlineStr">
        <is>
          <t>To build up multiple mindset models, they should be part of your skillset. You can level up the competency from jumping out conform zone. 100 mindsets / mind model, condition.心適力. 馬洛斯，棒子。Someone said bad things F2F to you. How to react. You cannot satisfy everyone.</t>
        </is>
      </c>
      <c r="E215" s="40" t="inlineStr">
        <is>
          <t>Build multiple mental models as part of your skillset. Step out of your comfort zone to upgrade your competency. Be mentally adaptable (heart-adaptability / Maslow, carrots and sticks). When someone criticizes you face-to-face, manage your reaction and accept that you cannot satisfy everyone.</t>
        </is>
      </c>
      <c r="F215" s="41" t="inlineStr">
        <is>
          <t>建構多元的思維模型，將其納入你的軟實力組合。勇於跨出舒適圈以升級你的能力等級。鍛鍊心理彈性（心適力），理解馬斯洛需求理論，靈活運用胡蘿蔔與大棒。面對他人當面的批評，克制本能反應，明白你不可能取悅所有人。</t>
        </is>
      </c>
      <c r="G215" s="42" t="inlineStr">
        <is>
          <t>建立多元的思維模型，納入家己的本領底蒂。勇敢行出舒適圈來提升實力層次。修煉心理彈性（心適力），了解馬斯洛需求理論，會曉軟硬兼施（紅菜頭佮大枝箠）。搪著別人當面批評，愛按捺牢本能的衝動，知影咱無可能討好逐个人。</t>
        </is>
      </c>
      <c r="H215" s="43" t="inlineStr"/>
      <c r="I215" s="39" t="inlineStr"/>
      <c r="J215" s="44" t="inlineStr"/>
      <c r="K215" s="45" t="inlineStr"/>
    </row>
    <row r="216" ht="24" customHeight="1">
      <c r="A216" s="26" t="inlineStr">
        <is>
          <t>Slide 5</t>
        </is>
      </c>
      <c r="B216" s="27" t="inlineStr">
        <is>
          <t>No. 214</t>
        </is>
      </c>
      <c r="C216" s="28" t="inlineStr">
        <is>
          <t>原則 15</t>
        </is>
      </c>
      <c r="D216" s="29" t="inlineStr">
        <is>
          <t>Show your competence to your boss or manager, share experience and build up an expert image. Expert mindset. Report.</t>
        </is>
      </c>
      <c r="E216" s="30" t="inlineStr">
        <is>
          <t>Demonstrate your competence to leadership, share key insights, build an image of expertise through continuous learning, and deliver structured, high-impact status reports.</t>
        </is>
      </c>
      <c r="F216" s="31" t="inlineStr">
        <is>
          <t>向主管展現卓越的工作能力與經驗分享，形塑專業權威形象；以專家思維處理工作並落實定期回報。</t>
        </is>
      </c>
      <c r="G216" s="32" t="inlineStr">
        <is>
          <t>向頭家佮主管展現你的真才實學，大方分享經驗，建立專家的專業形象；用專家的思維處理工課，並落實定期回報。</t>
        </is>
      </c>
      <c r="H216" s="33" t="inlineStr"/>
      <c r="I216" s="29" t="inlineStr"/>
      <c r="J216" s="34" t="inlineStr"/>
      <c r="K216" s="35" t="inlineStr"/>
    </row>
    <row r="217" ht="24" customHeight="1">
      <c r="A217" s="36" t="inlineStr">
        <is>
          <t>Slide 5</t>
        </is>
      </c>
      <c r="B217" s="37" t="inlineStr">
        <is>
          <t>No. 215</t>
        </is>
      </c>
      <c r="C217" s="38" t="inlineStr">
        <is>
          <t>原則 6</t>
        </is>
      </c>
      <c r="D217" s="39" t="inlineStr">
        <is>
          <t>Can predict possible pro and cons for decisions. What is worse case? Can survive until everything back to normal.</t>
        </is>
      </c>
      <c r="E217" s="40" t="inlineStr">
        <is>
          <t>Anticipate the pros and cons of any decision. Ask: What is the worst-case scenario? Ensure you can survive and sustain operations until conditions return to normal.</t>
        </is>
      </c>
      <c r="F217" s="41" t="inlineStr">
        <is>
          <t>預測各項決策可能帶來的利弊得失。自問：最壞的情況是什麼？確保你能撐過最壞情境，直到一切恢復正常。</t>
        </is>
      </c>
      <c r="G217" s="42" t="inlineStr">
        <is>
          <t>愛會曉預估各項決策的好歹利害。問家己：上歹的狀況是啥物？愛確保家己有氣力擋得過上歹的難關，直到一切恢復正常。</t>
        </is>
      </c>
      <c r="H217" s="43" t="inlineStr"/>
      <c r="I217" s="39" t="inlineStr"/>
      <c r="J217" s="44" t="inlineStr"/>
      <c r="K217" s="45" t="inlineStr"/>
    </row>
    <row r="218" ht="24" customHeight="1">
      <c r="A218" s="26" t="inlineStr">
        <is>
          <t>Slide 5</t>
        </is>
      </c>
      <c r="B218" s="27" t="inlineStr">
        <is>
          <t>No. 216</t>
        </is>
      </c>
      <c r="C218" s="28" t="inlineStr">
        <is>
          <t>原則 16</t>
        </is>
      </c>
      <c r="D218" s="29" t="inlineStr">
        <is>
          <t>Can execute a project for long-term. Stay the course. No matter in work or living field.</t>
        </is>
      </c>
      <c r="E218" s="30" t="inlineStr">
        <is>
          <t>Build the capacity to manage and execute long-term projects. Stay the course consistently, whether in professional goals or personal life plans.</t>
        </is>
      </c>
      <c r="F218" s="31" t="inlineStr">
        <is>
          <t>培養執行長期專案的能力。不論在工作還是生活領域，都要堅持走在設定好的軌道上，深耕累積。</t>
        </is>
      </c>
      <c r="G218" s="32" t="inlineStr">
        <is>
          <t>培養執行長期專案的耐力。無論佇工課抑是日常生活，攏愛堅定行佇設定好的軌道頂懸，耐煩深耕、一步一步累積。</t>
        </is>
      </c>
      <c r="H218" s="33" t="inlineStr"/>
      <c r="I218" s="29" t="inlineStr"/>
      <c r="J218" s="34" t="inlineStr"/>
      <c r="K218" s="35" t="inlineStr"/>
    </row>
    <row r="219" ht="24" customHeight="1">
      <c r="A219" s="36" t="inlineStr">
        <is>
          <t>Slide 5</t>
        </is>
      </c>
      <c r="B219" s="37" t="inlineStr">
        <is>
          <t>No. 217</t>
        </is>
      </c>
      <c r="C219" s="38" t="inlineStr">
        <is>
          <t>原則 2, 原則 12</t>
        </is>
      </c>
      <c r="D219" s="39" t="inlineStr">
        <is>
          <t>To avoid receiver think you may be too careless, but you need to reply quick, you can add “ sent by cell-phone” message in the end. Ex: quick reply let me know if more explanation is needed.</t>
        </is>
      </c>
      <c r="E219" s="40" t="inlineStr">
        <is>
          <t>When responding rapidly on mobile, append a tag like 'Sent from mobile phone' or 'Quick response—please let me know if further clarification is needed' to prevent recipients from viewing your reply as overly terse or careless.</t>
        </is>
      </c>
      <c r="F219" s="41" t="inlineStr">
        <is>
          <t>需要快速回覆郵件時，可在末尾附註「此信件由手機發送，若需進一步說明請告知」，避免收件者誤認為態度草率。</t>
        </is>
      </c>
      <c r="G219" s="42" t="inlineStr">
        <is>
          <t>趕緊用手機仔簡短回批的時陣，批尾會當加註「這封批是用手機仔寄出，若需要閣較詳細的說明請講一聲」，免得收批的人誤會咱做代誌草率。</t>
        </is>
      </c>
      <c r="H219" s="43" t="inlineStr"/>
      <c r="I219" s="39" t="inlineStr"/>
      <c r="J219" s="44" t="inlineStr"/>
      <c r="K219" s="45" t="inlineStr"/>
    </row>
    <row r="220" ht="24" customHeight="1">
      <c r="A220" s="26" t="inlineStr">
        <is>
          <t>Slide 5</t>
        </is>
      </c>
      <c r="B220" s="27" t="inlineStr">
        <is>
          <t>No. 218</t>
        </is>
      </c>
      <c r="C220" s="28" t="inlineStr">
        <is>
          <t>原則 9</t>
        </is>
      </c>
      <c r="D220" s="29" t="inlineStr">
        <is>
          <t>“I have different opinion” vs “ I disagree” . Try to reply to your managers as experiment and see how they reply.</t>
        </is>
      </c>
      <c r="E220" s="30" t="inlineStr">
        <is>
          <t>Note the difference between 'I have a different opinion' and 'I disagree.' Experiment by using these phrasing variations when replying to your managers, and observe their responses.</t>
        </is>
      </c>
      <c r="F220" s="31" t="inlineStr">
        <is>
          <t>注意「我有不同看法」與「我反對」之間的語意差異。嘗試將這兩種說法作為小實驗用在與主管回信中，觀察並分析他們的反應與回覆方式。</t>
        </is>
      </c>
      <c r="G220" s="32" t="inlineStr">
        <is>
          <t>體會「我有無仝的看法」佮「我反對」語氣輕重的差別。試看覓共這兩種講法當做實驗，用佇回覆主管的批信內底，細膩觀察怹的反應佮回批的口氣。</t>
        </is>
      </c>
      <c r="H220" s="33" t="inlineStr"/>
      <c r="I220" s="29" t="inlineStr"/>
      <c r="J220" s="34" t="inlineStr"/>
      <c r="K220" s="35" t="inlineStr"/>
    </row>
    <row r="221" ht="24" customHeight="1">
      <c r="A221" s="36" t="inlineStr">
        <is>
          <t>Slide 5</t>
        </is>
      </c>
      <c r="B221" s="37" t="inlineStr">
        <is>
          <t>No. 219</t>
        </is>
      </c>
      <c r="C221" s="38" t="inlineStr">
        <is>
          <t>原則 3, 原則 16</t>
        </is>
      </c>
      <c r="D221" s="39" t="inlineStr">
        <is>
          <t>Build a system instead of reaching a goal. Learn from your mistakes and look back.</t>
        </is>
      </c>
      <c r="E221" s="40" t="inlineStr">
        <is>
          <t>Focus on building a robust system rather than just reaching a single goal. Learn continuously from your mistakes and practice regular retrospect.</t>
        </is>
      </c>
      <c r="F221" s="41" t="inlineStr">
        <is>
          <t>專注於建構一個能穩定運作的「系統」，而非僅僅追求單一「目標」。從錯誤中汲取教訓，並培養定期回頭審視的習慣。</t>
        </is>
      </c>
      <c r="G221" s="42" t="inlineStr">
        <is>
          <t>專心起造一套穩固長久的「運作系統」，毋是干焦追求單一的「目標」。對錯誤佮失敗當中記取教訓，養成定定回頭檢討的習慣。</t>
        </is>
      </c>
      <c r="H221" s="43" t="inlineStr"/>
      <c r="I221" s="39" t="inlineStr"/>
      <c r="J221" s="44" t="inlineStr"/>
      <c r="K221" s="45" t="inlineStr"/>
    </row>
    <row r="222" ht="24" customHeight="1">
      <c r="A222" s="26" t="inlineStr">
        <is>
          <t>Slide 5</t>
        </is>
      </c>
      <c r="B222" s="27" t="inlineStr">
        <is>
          <t>No. 220</t>
        </is>
      </c>
      <c r="C222" s="28" t="inlineStr">
        <is>
          <t>原則 16</t>
        </is>
      </c>
      <c r="D222" s="29" t="inlineStr">
        <is>
          <t>Mind your business more than other’s business. Focus on growth, no just finance. ( mind, spiritual)</t>
        </is>
      </c>
      <c r="E222" s="30" t="inlineStr">
        <is>
          <t>Focus on your own growth and core responsibilities rather than meddling in others' affairs. Pursue holistic development, encompassing personal, mental, and spiritual well-being alongside financial goals.</t>
        </is>
      </c>
      <c r="F222" s="31" t="inlineStr">
        <is>
          <t>專注於自身的職責與成長，而非過度干涉他人事務。除了財務回報外，更應追求心靈與精神層面的全面提升。</t>
        </is>
      </c>
      <c r="G222" s="32" t="inlineStr">
        <is>
          <t>專心顧好家己的本分佮成長，莫傷過頭去插手別人的代誌。毋但追求財務回報，心靈佮精神層面嘛愛作夥提升。</t>
        </is>
      </c>
      <c r="H222" s="33" t="inlineStr"/>
      <c r="I222" s="29" t="inlineStr"/>
      <c r="J222" s="34" t="inlineStr"/>
      <c r="K222" s="35" t="inlineStr"/>
    </row>
    <row r="223" ht="24" customHeight="1">
      <c r="A223" s="36" t="inlineStr">
        <is>
          <t>Slide 5</t>
        </is>
      </c>
      <c r="B223" s="37" t="inlineStr">
        <is>
          <t>No. 221</t>
        </is>
      </c>
      <c r="C223" s="38" t="inlineStr">
        <is>
          <t>原則 13</t>
        </is>
      </c>
      <c r="D223" s="39" t="inlineStr">
        <is>
          <t>You cannot keep saving your colleagues. You need to make sure your capability with growth. Item 234</t>
        </is>
      </c>
      <c r="E223" s="40" t="inlineStr">
        <is>
          <t>You cannot keep rescueing your colleagues indefinitely. You must prioritize securing your own professional capability and growth. (Related to Item 234)</t>
        </is>
      </c>
      <c r="F223" s="41" t="inlineStr">
        <is>
          <t>你不可能無限制地去拯救水深火熱的同事。你必須先確保自己的核心能力與職涯維持成長軌跡。（對照第234條）</t>
        </is>
      </c>
      <c r="G223" s="42" t="inlineStr">
        <is>
          <t>你無可能無限制一直去救水深火熱的同事。你著愛先顧好家己，確保家己的本事佮職涯一直維持成長。（對照第234條）</t>
        </is>
      </c>
      <c r="H223" s="43" t="inlineStr"/>
      <c r="I223" s="39" t="inlineStr"/>
      <c r="J223" s="44" t="inlineStr"/>
      <c r="K223" s="45" t="inlineStr"/>
    </row>
    <row r="224" ht="24" customHeight="1">
      <c r="A224" s="26" t="inlineStr">
        <is>
          <t>Slide 5</t>
        </is>
      </c>
      <c r="B224" s="27" t="inlineStr">
        <is>
          <t>No. 222</t>
        </is>
      </c>
      <c r="C224" s="28" t="inlineStr">
        <is>
          <t>原則 13</t>
        </is>
      </c>
      <c r="D224" s="29" t="inlineStr">
        <is>
          <t>Be curious how your colleagues with good performance finish their works. You may learn from them in different field. ( perform like a show)</t>
        </is>
      </c>
      <c r="E224" s="30" t="inlineStr">
        <is>
          <t>Be curious about how high-performing colleagues execute their tasks. Observe their methods and presentation styles as if watching a masterclass to gain cross-functional insights.</t>
        </is>
      </c>
      <c r="F224" s="31" t="inlineStr">
        <is>
          <t>保持好奇心，觀察績效卓越的同事如何高效完成工作與呈現結果。向不同領域的佼佼者學習，借鑑其精彩的處事方式。</t>
        </is>
      </c>
      <c r="G224" s="32" t="inlineStr">
        <is>
          <t>保持好奇心，觀察表現優秀的同事是按怎俐落完成工課、展現成果。無仝領域有才調的人攏會當做咱的師傅，看人搬戲嘛愛學人真工夫。</t>
        </is>
      </c>
      <c r="H224" s="33" t="inlineStr"/>
      <c r="I224" s="29" t="inlineStr"/>
      <c r="J224" s="34" t="inlineStr"/>
      <c r="K224" s="35" t="inlineStr"/>
    </row>
    <row r="225" ht="24" customHeight="1">
      <c r="A225" s="36" t="inlineStr">
        <is>
          <t>Slide 5</t>
        </is>
      </c>
      <c r="B225" s="37" t="inlineStr">
        <is>
          <t>No. 223</t>
        </is>
      </c>
      <c r="C225" s="38" t="inlineStr">
        <is>
          <t>原則 13</t>
        </is>
      </c>
      <c r="D225" s="39" t="inlineStr">
        <is>
          <t>Identify your team members who has growth mindset and fixed mindset</t>
        </is>
      </c>
      <c r="E225" s="40" t="inlineStr">
        <is>
          <t>Identify which of your team members possess a growth mindset and which have a fixed mindset. Tailor your communication style accordingly.</t>
        </is>
      </c>
      <c r="F225" s="41" t="inlineStr">
        <is>
          <t>觀察並辨識團隊成員中，誰擁有「成長型思維」，誰抱持「定型型思維」，以此調整與之協作的策略。</t>
        </is>
      </c>
      <c r="G225" s="42" t="inlineStr">
        <is>
          <t>細膩觀察並認出團隊成員內底，啥人有「成長型思維」，啥人是「定型思維」，照按呢來調整佮怹配合共事的步數。</t>
        </is>
      </c>
      <c r="H225" s="43" t="inlineStr"/>
      <c r="I225" s="39" t="inlineStr"/>
      <c r="J225" s="44" t="inlineStr"/>
      <c r="K225" s="45" t="inlineStr"/>
    </row>
    <row r="226" ht="24" customHeight="1">
      <c r="A226" s="26" t="inlineStr">
        <is>
          <t>Slide 5</t>
        </is>
      </c>
      <c r="B226" s="27" t="inlineStr">
        <is>
          <t>No. 224</t>
        </is>
      </c>
      <c r="C226" s="28" t="inlineStr">
        <is>
          <t>原則 18</t>
        </is>
      </c>
      <c r="D226" s="29" t="inlineStr">
        <is>
          <t>Stop negative words otherwise it will hurt you.</t>
        </is>
      </c>
      <c r="E226" s="30" t="inlineStr">
        <is>
          <t>Eliminate negative phrasing and complaining from your speech; otherwise, it will ultimately damage your professional image and mental energy.</t>
        </is>
      </c>
      <c r="F226" s="31" t="inlineStr">
        <is>
          <t>停止使用負面詞彙與抱怨，否則負能量終將反噬你自身的專業形象與大腦能量。</t>
        </is>
      </c>
      <c r="G226" s="32" t="inlineStr">
        <is>
          <t>毋通閣講負面怨嘆的洩氣話，若無，這號負能量終其尾會反過來傷著家己的專業形象佮精神氣力。</t>
        </is>
      </c>
      <c r="H226" s="33" t="inlineStr"/>
      <c r="I226" s="29" t="inlineStr"/>
      <c r="J226" s="34" t="inlineStr"/>
      <c r="K226" s="35" t="inlineStr"/>
    </row>
    <row r="227" ht="24" customHeight="1">
      <c r="A227" s="36" t="inlineStr">
        <is>
          <t>Slide 5</t>
        </is>
      </c>
      <c r="B227" s="37" t="inlineStr">
        <is>
          <t>No. 225</t>
        </is>
      </c>
      <c r="C227" s="38" t="inlineStr">
        <is>
          <t>原則 16</t>
        </is>
      </c>
      <c r="D227" s="39" t="inlineStr">
        <is>
          <t>Ask yourself what do you learn today any progress for your target and goal. Every day, week, month, and year.</t>
        </is>
      </c>
      <c r="E227" s="40" t="inlineStr">
        <is>
          <t>Ask yourself daily: 'What did I learn today? What progress did I make toward my goals?' Practice this reflection daily, weekly, monthly, and yearly.</t>
        </is>
      </c>
      <c r="F227" s="41" t="inlineStr">
        <is>
          <t>自我盤點：我今天學到了什麼？是否朝著自己的目標前進了一步？在每日、每週、每月和每年結束時落實這項反思。</t>
        </is>
      </c>
      <c r="G227" s="42" t="inlineStr">
        <is>
          <t>逐工問家己：今仔日我有學著啥物？向目標敢有閣行前一步？逐工、逐禮拜、逐個月佮逐年收尾的時陣，攏愛落實這項反思。</t>
        </is>
      </c>
      <c r="H227" s="43" t="inlineStr"/>
      <c r="I227" s="39" t="inlineStr"/>
      <c r="J227" s="44" t="inlineStr"/>
      <c r="K227" s="45" t="inlineStr"/>
    </row>
    <row r="228" ht="24" customHeight="1">
      <c r="A228" s="26" t="inlineStr">
        <is>
          <t>Slide 5</t>
        </is>
      </c>
      <c r="B228" s="27" t="inlineStr">
        <is>
          <t>No. 226</t>
        </is>
      </c>
      <c r="C228" s="28" t="inlineStr">
        <is>
          <t>原則 16, 原則 17</t>
        </is>
      </c>
      <c r="D228" s="29" t="inlineStr">
        <is>
          <t>Connecting the dot</t>
        </is>
      </c>
      <c r="E228" s="30" t="inlineStr">
        <is>
          <t>Connect the dots: trust that the unique skills and diverse knowledge you acquire today will eventually link up and serve a purpose in your future.</t>
        </is>
      </c>
      <c r="F228" s="31" t="inlineStr">
        <is>
          <t>串聯生命中的起點（Connecting the dots）。相信你所積累的每項技能與經歷，日後都會有機地串聯在一起，發揮作用。</t>
        </is>
      </c>
      <c r="G228" s="32" t="inlineStr">
        <is>
          <t>串連性命中的點點滴滴（Connecting the dots）。相信你這馬所累積的逐項工夫佮經歷，後日有一工攏會自然牽連起來，發揮意想袂到的作用。</t>
        </is>
      </c>
      <c r="H228" s="33" t="inlineStr"/>
      <c r="I228" s="29" t="inlineStr"/>
      <c r="J228" s="34" t="inlineStr"/>
      <c r="K228" s="35" t="inlineStr"/>
    </row>
    <row r="229" ht="24" customHeight="1">
      <c r="A229" s="36" t="inlineStr">
        <is>
          <t>Slide 5</t>
        </is>
      </c>
      <c r="B229" s="37" t="inlineStr">
        <is>
          <t>No. 227</t>
        </is>
      </c>
      <c r="C229" s="38" t="inlineStr">
        <is>
          <t>原則 1, 原則 5</t>
        </is>
      </c>
      <c r="D229" s="39" t="inlineStr">
        <is>
          <t>makes rules and follow it. measure time per task. Stay on course. Item 32.</t>
        </is>
      </c>
      <c r="E229" s="40" t="inlineStr">
        <is>
          <t>Establish personal rules and stick to them. Measure and track the time spent on each task to maintain efficiency and stay on course. (Related to Item 32)</t>
        </is>
      </c>
      <c r="F229" s="41" t="inlineStr">
        <is>
          <t>制定你的個人原則並嚴格遵守。記錄並分析每項工作花費的時間，確保走在預定軌道上。（對照第32條）</t>
        </is>
      </c>
      <c r="G229" s="42" t="inlineStr">
        <is>
          <t>立定家己的原則並嚴格遵守。記錄並計算逐項工課所開的時間，確保跤步一直行佇設定好的軌道頂懸。（對照第32條）</t>
        </is>
      </c>
      <c r="H229" s="43" t="inlineStr"/>
      <c r="I229" s="39" t="inlineStr"/>
      <c r="J229" s="44" t="inlineStr"/>
      <c r="K229" s="45" t="inlineStr"/>
    </row>
    <row r="230" ht="24" customHeight="1">
      <c r="A230" s="26" t="inlineStr">
        <is>
          <t>Slide 5</t>
        </is>
      </c>
      <c r="B230" s="27" t="inlineStr">
        <is>
          <t>No. 228</t>
        </is>
      </c>
      <c r="C230" s="28" t="inlineStr">
        <is>
          <t>原則 1, 原則 2</t>
        </is>
      </c>
      <c r="D230" s="29" t="inlineStr">
        <is>
          <t>Turn off social media message and focus.</t>
        </is>
      </c>
      <c r="E230" s="30" t="inlineStr">
        <is>
          <t>Turn off social media notifications and messaging apps during work blocks to maintain deep focus.</t>
        </is>
      </c>
      <c r="F230" s="31" t="inlineStr">
        <is>
          <t>關閉社群媒體與即時通訊的訊息通知，排除干擾以維持深度專注。</t>
        </is>
      </c>
      <c r="G230" s="32" t="inlineStr">
        <is>
          <t>關掉社群媒體佮通訊軟體的訊息通知，排除外口的干擾，維持深度的專注。</t>
        </is>
      </c>
      <c r="H230" s="33" t="inlineStr"/>
      <c r="I230" s="29" t="inlineStr"/>
      <c r="J230" s="34" t="inlineStr"/>
      <c r="K230" s="35" t="inlineStr"/>
    </row>
    <row r="231" ht="24" customHeight="1">
      <c r="A231" s="36" t="inlineStr">
        <is>
          <t>Slide 5</t>
        </is>
      </c>
      <c r="B231" s="37" t="inlineStr">
        <is>
          <t>No. 229</t>
        </is>
      </c>
      <c r="C231" s="38" t="inlineStr">
        <is>
          <t>原則 3, 原則 4</t>
        </is>
      </c>
      <c r="D231" s="39" t="inlineStr">
        <is>
          <t>Reuse your previous works /study and other’s. Reading books. Do documentation. And look back on it rountinely.</t>
        </is>
      </c>
      <c r="E231" s="40" t="inlineStr">
        <is>
          <t>Leverage and reuse your own past deliverables and others' studies. Read books, maintain thorough documentation, and review them routinely.</t>
        </is>
      </c>
      <c r="F231" s="41" t="inlineStr">
        <is>
          <t>學會調用與借鑑你過去的成果或他人的研究。大量閱讀、做好文件記錄與知識存檔，並定期回頭溫故知新。</t>
        </is>
      </c>
      <c r="G231" s="42" t="inlineStr">
        <is>
          <t>愛會曉重複利用家己過去的成果，嘛借鏡別人的研究。濟讀冊、做好文件紀錄佮存檔，並定定回頭溫故知新。</t>
        </is>
      </c>
      <c r="H231" s="43" t="inlineStr"/>
      <c r="I231" s="39" t="inlineStr"/>
      <c r="J231" s="44" t="inlineStr"/>
      <c r="K231" s="45" t="inlineStr"/>
    </row>
    <row r="232" ht="24" customHeight="1">
      <c r="A232" s="26" t="inlineStr">
        <is>
          <t>Slide 5</t>
        </is>
      </c>
      <c r="B232" s="27" t="inlineStr">
        <is>
          <t>No. 230</t>
        </is>
      </c>
      <c r="C232" s="28" t="inlineStr">
        <is>
          <t>原則 18</t>
        </is>
      </c>
      <c r="D232" s="29" t="inlineStr">
        <is>
          <t>Always face the questions and solve it no matter how long it takes. Breakdown it.</t>
        </is>
      </c>
      <c r="E232" s="30" t="inlineStr">
        <is>
          <t>Always confront problems head-on and solve them, no matter how long it takes. Break complex challenges down into smaller, actionable tasks.</t>
        </is>
      </c>
      <c r="F232" s="31" t="inlineStr">
        <is>
          <t>直面遭遇的問題，不論要花多久時間，誓要徹底解決它。將複雜的大難題拆解為可以立即執行的小步驟。</t>
        </is>
      </c>
      <c r="G232" s="32" t="inlineStr">
        <is>
          <t>正面面對搪著的問題，無論愛開偌濟時間，攏愛共伊澈底解決。共複雜的大難題，拆解做會當隨落手執行的細項步數。</t>
        </is>
      </c>
      <c r="H232" s="33" t="inlineStr"/>
      <c r="I232" s="29" t="inlineStr"/>
      <c r="J232" s="34" t="inlineStr"/>
      <c r="K232" s="35" t="inlineStr"/>
    </row>
    <row r="233" ht="24" customHeight="1">
      <c r="A233" s="36" t="inlineStr">
        <is>
          <t>Slide 5</t>
        </is>
      </c>
      <c r="B233" s="37" t="inlineStr">
        <is>
          <t>No. 231</t>
        </is>
      </c>
      <c r="C233" s="38" t="inlineStr">
        <is>
          <t>原則 16</t>
        </is>
      </c>
      <c r="D233" s="39" t="inlineStr">
        <is>
          <t>Learn WoW, build a system, enhance competency which you can take with you. Item 219.</t>
        </is>
      </c>
      <c r="E233" s="40" t="inlineStr">
        <is>
          <t>Refine your Way of Working (WoW), build a sustainable workflow system, and enhance portable competencies that remain valuable wherever you go. (Related to Item 219)</t>
        </is>
      </c>
      <c r="F233" s="41" t="inlineStr">
        <is>
          <t>優化工作方法論（WoW）、建構系統化流程，提昇不論去到哪家公司都能帶得走的「可攜式能力」。（對照第219條）</t>
        </is>
      </c>
      <c r="G233" s="42" t="inlineStr">
        <is>
          <t>精進做代誌的方法（WoW）、建立系統化的工作流程，磨練毋管行到佗位攏會當帶咧走的「真本領」。（對照第219條）</t>
        </is>
      </c>
      <c r="H233" s="43" t="inlineStr"/>
      <c r="I233" s="39" t="inlineStr"/>
      <c r="J233" s="44" t="inlineStr"/>
      <c r="K233" s="45" t="inlineStr"/>
    </row>
    <row r="234" ht="24" customHeight="1">
      <c r="A234" s="26" t="inlineStr">
        <is>
          <t>Slide 5</t>
        </is>
      </c>
      <c r="B234" s="27" t="inlineStr">
        <is>
          <t>No. 232</t>
        </is>
      </c>
      <c r="C234" s="28" t="inlineStr">
        <is>
          <t>原則 16</t>
        </is>
      </c>
      <c r="D234" s="29" t="inlineStr">
        <is>
          <t>Keep looking for what you want. Stay on the course.</t>
        </is>
      </c>
      <c r="E234" s="30" t="inlineStr">
        <is>
          <t>Never lose sight of what you truly want. Keep searching and stay firmly on course.</t>
        </is>
      </c>
      <c r="F234" s="31" t="inlineStr">
        <is>
          <t>永遠不要停止尋找你真正想要的人生目標。堅定前行，不偏離航道。</t>
        </is>
      </c>
      <c r="G234" s="32" t="inlineStr">
        <is>
          <t>永遠莫放棄追尋你真正向望的人生目標。堅定心志向前行，莫偏離設定好的航道。</t>
        </is>
      </c>
      <c r="H234" s="33" t="inlineStr"/>
      <c r="I234" s="29" t="inlineStr"/>
      <c r="J234" s="34" t="inlineStr"/>
      <c r="K234" s="35" t="inlineStr"/>
    </row>
    <row r="235" ht="24" customHeight="1">
      <c r="A235" s="36" t="inlineStr">
        <is>
          <t>Slide 5</t>
        </is>
      </c>
      <c r="B235" s="37" t="inlineStr">
        <is>
          <t>No. 233</t>
        </is>
      </c>
      <c r="C235" s="38" t="inlineStr">
        <is>
          <t>原則 9</t>
        </is>
      </c>
      <c r="D235" s="39" t="inlineStr">
        <is>
          <t>Not correct. =&gt;we have different way of working. ( rephrase) Although there are many conflicts in reality…, I have different opinions.</t>
        </is>
      </c>
      <c r="E235" s="40" t="inlineStr">
        <is>
          <t>Avoid saying 'That's not correct.' Rephrase to: 'We have different ways of working.' Soften statements like: 'Although there are conflicts in reality, I hold a different perspective.'</t>
        </is>
      </c>
      <c r="F235" s="41" t="inlineStr">
        <is>
          <t>避免直接否定他人說「這不對」。改用客氣的措辭：「我們的工作方法有些不同。」或「雖然現實中存在分歧，但我有不同的看法。」</t>
        </is>
      </c>
      <c r="G235" s="42" t="inlineStr">
        <is>
          <t>莫直接否定別人講「這毋著」。改用較婉轉的講法：「咱做代誌的手路有淡薄仔無仝。」抑是「雖然現實中有分歧，毋過我有另外一種看法。」</t>
        </is>
      </c>
      <c r="H235" s="43" t="inlineStr"/>
      <c r="I235" s="39" t="inlineStr"/>
      <c r="J235" s="44" t="inlineStr"/>
      <c r="K235" s="45" t="inlineStr"/>
    </row>
    <row r="236" ht="24" customHeight="1">
      <c r="A236" s="26" t="inlineStr">
        <is>
          <t>Slide 5</t>
        </is>
      </c>
      <c r="B236" s="27" t="inlineStr">
        <is>
          <t>No. 234</t>
        </is>
      </c>
      <c r="C236" s="28" t="inlineStr">
        <is>
          <t>原則 13</t>
        </is>
      </c>
      <c r="D236" s="29" t="inlineStr">
        <is>
          <t>Don’t try to correct others’ WoW or attitude. If they don’t ask / request. Item 236</t>
        </is>
      </c>
      <c r="E236" s="30" t="inlineStr">
        <is>
          <t>Do not attempt to correct other people's working style or attitude unless they explicitly ask for your feedback. (Related to Item 236)</t>
        </is>
      </c>
      <c r="F236" s="31" t="inlineStr">
        <is>
          <t>除非他人主動請求指點，否則不要試圖去糾正別人的工作方法或工作態度。（對照第236條）</t>
        </is>
      </c>
      <c r="G236" s="32" t="inlineStr">
        <is>
          <t>除非別人主動開喙請教，若無，莫想欲去糾正別人做代誌的手路抑是工作態度。（對照第236條）</t>
        </is>
      </c>
      <c r="H236" s="33" t="inlineStr"/>
      <c r="I236" s="29" t="inlineStr"/>
      <c r="J236" s="34" t="inlineStr"/>
      <c r="K236" s="35" t="inlineStr"/>
    </row>
    <row r="237" ht="24" customHeight="1">
      <c r="A237" s="36" t="inlineStr">
        <is>
          <t>Slide 5</t>
        </is>
      </c>
      <c r="B237" s="37" t="inlineStr">
        <is>
          <t>No. 235</t>
        </is>
      </c>
      <c r="C237" s="38" t="inlineStr">
        <is>
          <t>原則 13</t>
        </is>
      </c>
      <c r="D237" s="39" t="inlineStr">
        <is>
          <t>Don’t debate people or blame. They need to solve their problems themselves. Don’t criticize. Don't be asshole</t>
        </is>
      </c>
      <c r="E237" s="40" t="inlineStr">
        <is>
          <t>Avoid debating or placing blame on others. They must solve their own problems. Refrain from criticism; be constructive and respectful.</t>
        </is>
      </c>
      <c r="F237" s="41" t="inlineStr">
        <is>
          <t>不要無謂地與人爭辯或指責對方，他們必須自己學會解決自己的問題。不隨意批評，避免成為讓人討厭的同事。</t>
        </is>
      </c>
      <c r="G237" s="42" t="inlineStr">
        <is>
          <t>莫無謂佮人爭辯抑是怪罪別人，怹的問題愛怹家己想辦法解決。莫烏白開喙批評，免得變做惹人嫌的歹同事。</t>
        </is>
      </c>
      <c r="H237" s="43" t="inlineStr"/>
      <c r="I237" s="39" t="inlineStr"/>
      <c r="J237" s="44" t="inlineStr"/>
      <c r="K237" s="45" t="inlineStr"/>
    </row>
    <row r="238" ht="24" customHeight="1">
      <c r="A238" s="26" t="inlineStr">
        <is>
          <t>Slide 5</t>
        </is>
      </c>
      <c r="B238" s="27" t="inlineStr">
        <is>
          <t>No. 236</t>
        </is>
      </c>
      <c r="C238" s="28" t="inlineStr">
        <is>
          <t>原則 13</t>
        </is>
      </c>
      <c r="D238" s="29" t="inlineStr">
        <is>
          <t>You get No pay when you complain to others. And fools will hate you and wise will thank you. No one will correct mistake when you yell at him/her.</t>
        </is>
      </c>
      <c r="E238" s="30" t="inlineStr">
        <is>
          <t>Complaining to others yields no rewards. Fools will resent you for correcting them, while the wise will appreciate it. Keep in mind that shouting at someone never motivates them to correct their mistakes.</t>
        </is>
      </c>
      <c r="F238" s="31" t="inlineStr">
        <is>
          <t>向人抱怨不會為你帶來任何收益。糾正錯誤時，愚者會怨恨你，智者則會感謝你。記住，對人咆哮或發脾氣絕不能解決或改正錯誤。</t>
        </is>
      </c>
      <c r="G238" s="32" t="inlineStr">
        <is>
          <t>四界對人怨嘆無半點好處。糾正錯誤的時陣，戇人會怨恨你，明理的人會感謝你。記佇心肝底：對人大細聲、起受氣，絕對無法度予人改過向善。</t>
        </is>
      </c>
      <c r="H238" s="33" t="inlineStr"/>
      <c r="I238" s="29" t="inlineStr"/>
      <c r="J238" s="34" t="inlineStr"/>
      <c r="K238" s="35" t="inlineStr"/>
    </row>
    <row r="239" ht="24" customHeight="1">
      <c r="A239" s="36" t="inlineStr">
        <is>
          <t>Slide 5</t>
        </is>
      </c>
      <c r="B239" s="37" t="inlineStr">
        <is>
          <t>No. 237</t>
        </is>
      </c>
      <c r="C239" s="38" t="inlineStr">
        <is>
          <t>原則 11, 原則 14</t>
        </is>
      </c>
      <c r="D239" s="39" t="inlineStr">
        <is>
          <t>Stop unnecessary talking or stop talking deliberately. Item 278.</t>
        </is>
      </c>
      <c r="E239" s="40" t="inlineStr">
        <is>
          <t>Eliminate unnecessary chatter and practice active, deliberate silence when appropriate. (Related to Item 278)</t>
        </is>
      </c>
      <c r="F239" s="41" t="inlineStr">
        <is>
          <t>杜絕無意義的閒聊，必要時主動且刻意地保持靜默。（對照第278條）</t>
        </is>
      </c>
      <c r="G239" s="42" t="inlineStr">
        <is>
          <t>減少無意義的開講閒話，必要的時陣，刁工恬恬無出聲、保持沉默。（對照第278條）</t>
        </is>
      </c>
      <c r="H239" s="43" t="inlineStr"/>
      <c r="I239" s="39" t="inlineStr"/>
      <c r="J239" s="44" t="inlineStr"/>
      <c r="K239" s="45" t="inlineStr"/>
    </row>
    <row r="240" ht="24" customHeight="1">
      <c r="A240" s="26" t="inlineStr">
        <is>
          <t>Slide 5</t>
        </is>
      </c>
      <c r="B240" s="27" t="inlineStr">
        <is>
          <t>No. 238</t>
        </is>
      </c>
      <c r="C240" s="28" t="inlineStr">
        <is>
          <t>原則 18</t>
        </is>
      </c>
      <c r="D240" s="29" t="inlineStr">
        <is>
          <t>What do you believe? And how do you react/response? And are you willing to stick with that? Fact or news or rumors.</t>
        </is>
      </c>
      <c r="E240" s="30" t="inlineStr">
        <is>
          <t>What are your core beliefs, and how do you respond when challenged? Are you willing to stand by your principles when facing facts, news, or unverified rumors?</t>
        </is>
      </c>
      <c r="F240" s="31" t="inlineStr">
        <is>
          <t>你的核心信念為何？面對各種事實、新聞或傳言時如何反應？你是否願意堅持自己的原則與立場？</t>
        </is>
      </c>
      <c r="G240" s="32" t="inlineStr">
        <is>
          <t>你心肝底核心相信的是啥物？面對各種事實、新聞抑是無影無跡的風聲，你會按怎反應？你敢甘願守牢家己的原則佮立場堅持到底？</t>
        </is>
      </c>
      <c r="H240" s="33" t="inlineStr"/>
      <c r="I240" s="29" t="inlineStr"/>
      <c r="J240" s="34" t="inlineStr"/>
      <c r="K240" s="35" t="inlineStr"/>
    </row>
    <row r="241" ht="24" customHeight="1">
      <c r="A241" s="36" t="inlineStr">
        <is>
          <t>Slide 5</t>
        </is>
      </c>
      <c r="B241" s="37" t="inlineStr">
        <is>
          <t>No. 239</t>
        </is>
      </c>
      <c r="C241" s="38" t="inlineStr">
        <is>
          <t>原則 18</t>
        </is>
      </c>
      <c r="D241" s="39" t="inlineStr">
        <is>
          <t>Waiting and caring needs time and patience.</t>
        </is>
      </c>
      <c r="E241" s="40" t="inlineStr">
        <is>
          <t>Nurturing and waiting for results to mature requires time and unwavering patience.</t>
        </is>
      </c>
      <c r="F241" s="41" t="inlineStr">
        <is>
          <t>付出關心與等待開花結果，都需要時間的沉澱與極大的耐心。</t>
        </is>
      </c>
      <c r="G241" s="42" t="inlineStr">
        <is>
          <t>顧惜關照佮等候事成，攏著開時間的沉澱，閣愛有深厚的大耐性。</t>
        </is>
      </c>
      <c r="H241" s="43" t="inlineStr"/>
      <c r="I241" s="39" t="inlineStr"/>
      <c r="J241" s="44" t="inlineStr"/>
      <c r="K241" s="45" t="inlineStr"/>
    </row>
    <row r="242" ht="24" customHeight="1">
      <c r="A242" s="26" t="inlineStr">
        <is>
          <t>Slide 5</t>
        </is>
      </c>
      <c r="B242" s="27" t="inlineStr">
        <is>
          <t>No. 240</t>
        </is>
      </c>
      <c r="C242" s="28" t="inlineStr">
        <is>
          <t>原則 18</t>
        </is>
      </c>
      <c r="D242" s="29" t="inlineStr">
        <is>
          <t>Find out who can help you or give you suggestions when you have troubles. Write it down.</t>
        </is>
      </c>
      <c r="E242" s="30" t="inlineStr">
        <is>
          <t>Identify and document key mentors or advisors who can help or offer suggestions when you encounter difficulties.</t>
        </is>
      </c>
      <c r="F242" s="31" t="inlineStr">
        <is>
          <t>找出當你遭遇困難時，有哪些資源或人選可以提供建議與相助。將這份清單記錄下來。</t>
        </is>
      </c>
      <c r="G242" s="32" t="inlineStr">
        <is>
          <t>進前想看覓，若搪著困難的時陣，有啥人會當出手鬥相共、指點迷津。白紙烏字共這份名單記落來。</t>
        </is>
      </c>
      <c r="H242" s="33" t="inlineStr"/>
      <c r="I242" s="29" t="inlineStr"/>
      <c r="J242" s="34" t="inlineStr"/>
      <c r="K242" s="35" t="inlineStr"/>
    </row>
    <row r="243" ht="24" customHeight="1">
      <c r="A243" s="36" t="inlineStr">
        <is>
          <t>Slide 5</t>
        </is>
      </c>
      <c r="B243" s="37" t="inlineStr">
        <is>
          <t>No. 241</t>
        </is>
      </c>
      <c r="C243" s="38" t="inlineStr">
        <is>
          <t>原則 7</t>
        </is>
      </c>
      <c r="D243" s="39" t="inlineStr">
        <is>
          <t>Do not do those things again if you already are familiar with and it won’t generate more benefit if you cannot get a deep thought on it. Or do it faster.</t>
        </is>
      </c>
      <c r="E243" s="40" t="inlineStr">
        <is>
          <t>Avoid repeating tasks you are already familiar with if they no longer challenge you or yield deeper insights, unless you can execute them significantly faster to save time.</t>
        </is>
      </c>
      <c r="F243" s="41" t="inlineStr">
        <is>
          <t>如果已對某項工作駕輕就熟，且無法再從中獲得深度啟發或新效益，就不要重複去做它。否則，就必須以更快、更省時的方式完成它。</t>
        </is>
      </c>
      <c r="G243" s="42" t="inlineStr">
        <is>
          <t>一項工課若是已經做甲誠熟手，閣無法度對內底得著新的啟發抑是效益，就莫閣重複去做。若準定著愛做，就愛用閣較緊、閣較省工的方式共伊完成。</t>
        </is>
      </c>
      <c r="H243" s="43" t="inlineStr"/>
      <c r="I243" s="39" t="inlineStr"/>
      <c r="J243" s="44" t="inlineStr"/>
      <c r="K243" s="45" t="inlineStr"/>
    </row>
    <row r="244" ht="24" customHeight="1">
      <c r="A244" s="26" t="inlineStr">
        <is>
          <t>Slide 5</t>
        </is>
      </c>
      <c r="B244" s="27" t="inlineStr">
        <is>
          <t>No. 242</t>
        </is>
      </c>
      <c r="C244" s="28" t="inlineStr">
        <is>
          <t>原則 18</t>
        </is>
      </c>
      <c r="D244" s="29" t="inlineStr">
        <is>
          <t>Focus on solving problems then you will forget your emotion.</t>
        </is>
      </c>
      <c r="E244" s="30" t="inlineStr">
        <is>
          <t>Channel your focus entirely into problem-solving, and your negative emotions will naturally fade away.</t>
        </is>
      </c>
      <c r="F244" s="31" t="inlineStr">
        <is>
          <t>將所有精力投入於「解決問題」上，負面情緒自然會隨之消散。</t>
        </is>
      </c>
      <c r="G244" s="32" t="inlineStr">
        <is>
          <t>共全副精神攏囥佇「解決問題」頂懸，負面的情緒自然就會消散去。</t>
        </is>
      </c>
      <c r="H244" s="33" t="inlineStr"/>
      <c r="I244" s="29" t="inlineStr"/>
      <c r="J244" s="34" t="inlineStr"/>
      <c r="K244" s="35" t="inlineStr"/>
    </row>
    <row r="245" ht="24" customHeight="1">
      <c r="A245" s="36" t="inlineStr">
        <is>
          <t>Slide 5</t>
        </is>
      </c>
      <c r="B245" s="37" t="inlineStr">
        <is>
          <t>No. 243</t>
        </is>
      </c>
      <c r="C245" s="38" t="inlineStr">
        <is>
          <t>原則 8, 原則 17</t>
        </is>
      </c>
      <c r="D245" s="39" t="inlineStr">
        <is>
          <t>Keeping busy is not good, you won’t get time to think. To check latest industrial status/movement. Avoid blindly busy. What is the goal / target.</t>
        </is>
      </c>
      <c r="E245" s="40" t="inlineStr">
        <is>
          <t>Blind busyness is counterproductive; it deprives you of time to think. Reserve bandwidth to track industry trends. Always clarify the ultimate goal and target.</t>
        </is>
      </c>
      <c r="F245" s="41" t="inlineStr">
        <is>
          <t>盲目地讓自己顯得忙碌並非好事，這會奪走你思考的時間。保留餘裕關注產業最新動態，時刻檢視核心目標與標的。</t>
        </is>
      </c>
      <c r="G245" s="42" t="inlineStr">
        <is>
          <t>青盲牛無頭神咧無閒，並毋是好代誌，顛倒會搶走你思考的時間。愛留一寡空間關心產業的最新動態，時時確認上核心的目標。</t>
        </is>
      </c>
      <c r="H245" s="43" t="inlineStr"/>
      <c r="I245" s="39" t="inlineStr"/>
      <c r="J245" s="44" t="inlineStr"/>
      <c r="K245" s="45" t="inlineStr"/>
    </row>
    <row r="246" ht="24" customHeight="1">
      <c r="A246" s="26" t="inlineStr">
        <is>
          <t>Slide 5</t>
        </is>
      </c>
      <c r="B246" s="27" t="inlineStr">
        <is>
          <t>No. 244</t>
        </is>
      </c>
      <c r="C246" s="28" t="inlineStr">
        <is>
          <t>原則 3, 原則 4</t>
        </is>
      </c>
      <c r="D246" s="29" t="inlineStr">
        <is>
          <t>Make own checklist/principles. Like this sheet</t>
        </is>
      </c>
      <c r="E246" s="30" t="inlineStr">
        <is>
          <t>Establish your personal operating principles and checklists (similar to this summary sheet) to maintain clarity and efficiency.</t>
        </is>
      </c>
      <c r="F246" s="31" t="inlineStr">
        <is>
          <t>建立屬於自己的工作準則與檢查清單（如本表），保持行動的系統化與高效。</t>
        </is>
      </c>
      <c r="G246" s="32" t="inlineStr">
        <is>
          <t>建立屬於家己的處事準則佮檢查清單（親像這份表單仝款），予逐一步行動攏有系統、閣有效率。</t>
        </is>
      </c>
      <c r="H246" s="33" t="inlineStr"/>
      <c r="I246" s="29" t="inlineStr"/>
      <c r="J246" s="34" t="inlineStr"/>
      <c r="K246" s="35" t="inlineStr"/>
    </row>
    <row r="247" ht="24" customHeight="1">
      <c r="A247" s="36" t="inlineStr">
        <is>
          <t>Slide 5</t>
        </is>
      </c>
      <c r="B247" s="37" t="inlineStr">
        <is>
          <t>No. 245</t>
        </is>
      </c>
      <c r="C247" s="38" t="inlineStr">
        <is>
          <t>原則 9, 原則 13</t>
        </is>
      </c>
      <c r="D247" s="39" t="inlineStr">
        <is>
          <t>Soft skill to communicate with your team members, leaders and managers.</t>
        </is>
      </c>
      <c r="E247" s="40" t="inlineStr">
        <is>
          <t>Master the soft skills needed to communicate effectively with team members, leaders, and managers.</t>
        </is>
      </c>
      <c r="F247" s="41" t="inlineStr">
        <is>
          <t>掌握與團隊成員、主管及經理進行有效溝通的職場軟實力。</t>
        </is>
      </c>
      <c r="G247" s="42" t="inlineStr">
        <is>
          <t>練好圓融的溝通軟實力，予家己佮團隊成員、主管佮經理攏會當順暢溝通。</t>
        </is>
      </c>
      <c r="H247" s="43" t="inlineStr"/>
      <c r="I247" s="39" t="inlineStr"/>
      <c r="J247" s="44" t="inlineStr"/>
      <c r="K247" s="45" t="inlineStr"/>
    </row>
    <row r="248" ht="24" customHeight="1">
      <c r="A248" s="26" t="inlineStr">
        <is>
          <t>Slide 5</t>
        </is>
      </c>
      <c r="B248" s="27" t="inlineStr">
        <is>
          <t>No. 246</t>
        </is>
      </c>
      <c r="C248" s="28" t="inlineStr">
        <is>
          <t>原則 16</t>
        </is>
      </c>
      <c r="D248" s="29" t="inlineStr">
        <is>
          <t>What do you lack for being a good engineer, leader and father… more practices.</t>
        </is>
      </c>
      <c r="E248" s="30" t="inlineStr">
        <is>
          <t>Reflect on what you lack to become a better engineer, leader, or father. Acknowledge that the answer is always more deliberate practice.</t>
        </is>
      </c>
      <c r="F248" s="31" t="inlineStr">
        <is>
          <t>反思要成為一個好的工程師、領導者及父親，你還缺少了什麼？答案是需要更多的刻意練習。</t>
        </is>
      </c>
      <c r="G248" s="32" t="inlineStr">
        <is>
          <t>自我反省：若欲做一名稱職的工程師、領導者抑是老爸，家己到底猶欠啥物？答案是需要閣較濟刻意的練習。</t>
        </is>
      </c>
      <c r="H248" s="33" t="inlineStr"/>
      <c r="I248" s="29" t="inlineStr"/>
      <c r="J248" s="34" t="inlineStr"/>
      <c r="K248" s="35" t="inlineStr"/>
    </row>
    <row r="249" ht="24" customHeight="1">
      <c r="A249" s="36" t="inlineStr">
        <is>
          <t>Slide 5</t>
        </is>
      </c>
      <c r="B249" s="37" t="inlineStr">
        <is>
          <t>No. 247</t>
        </is>
      </c>
      <c r="C249" s="38" t="inlineStr">
        <is>
          <t>原則 2</t>
        </is>
      </c>
      <c r="D249" s="39" t="inlineStr">
        <is>
          <t>Reduce the frequency of checking email and real time notification should be turn off. ( scroll social media)</t>
        </is>
      </c>
      <c r="E249" s="40" t="inlineStr">
        <is>
          <t>Reduce the frequency of checking emails and turn off real-time notifications to avoid non-stop context switching and endless social media scrolling.</t>
        </is>
      </c>
      <c r="F249" s="41" t="inlineStr">
        <is>
          <t>降低查看電子郵件的頻率並關閉即時通知，減少注意力分散與無意識刷社群媒體的時間。</t>
        </is>
      </c>
      <c r="G249" s="42" t="inlineStr">
        <is>
          <t>減少巡電子批的次數，並共即時通知攏總關掉，免得心神隨時予人拍斷，抑是無意識一直滑社群媒體。</t>
        </is>
      </c>
      <c r="H249" s="43" t="inlineStr"/>
      <c r="I249" s="39" t="inlineStr"/>
      <c r="J249" s="44" t="inlineStr"/>
      <c r="K249" s="45" t="inlineStr"/>
    </row>
    <row r="250" ht="24" customHeight="1">
      <c r="A250" s="26" t="inlineStr">
        <is>
          <t>Slide 5</t>
        </is>
      </c>
      <c r="B250" s="27" t="inlineStr">
        <is>
          <t>No. 248</t>
        </is>
      </c>
      <c r="C250" s="28" t="inlineStr">
        <is>
          <t>原則 13</t>
        </is>
      </c>
      <c r="D250" s="29" t="inlineStr">
        <is>
          <t>Don’t be over passionate on the tasks which is not belong to you. At least, hide it.</t>
        </is>
      </c>
      <c r="E250" s="30" t="inlineStr">
        <is>
          <t>Avoid showing excessive passion or taking too much ownership of tasks that do not belong to you. At the very least, keep your interest low-profile.</t>
        </is>
      </c>
      <c r="F250" s="31" t="inlineStr">
        <is>
          <t>不要對非你職責範圍的工作表現出過度的熱情。至少在檯面上，要隱藏這種過度干涉的熱心。</t>
        </is>
      </c>
      <c r="G250" s="32" t="inlineStr">
        <is>
          <t>毋通對毋是你職責範圍內的工課表現出過頭的熱情。就算心肝底有數，至少佇檯面上愛隱藏起來，莫惹人疑忌。</t>
        </is>
      </c>
      <c r="H250" s="33" t="inlineStr"/>
      <c r="I250" s="29" t="inlineStr"/>
      <c r="J250" s="34" t="inlineStr"/>
      <c r="K250" s="35" t="inlineStr"/>
    </row>
    <row r="251" ht="24" customHeight="1">
      <c r="A251" s="36" t="inlineStr">
        <is>
          <t>Slide 5</t>
        </is>
      </c>
      <c r="B251" s="37" t="inlineStr">
        <is>
          <t>No. 249</t>
        </is>
      </c>
      <c r="C251" s="38" t="inlineStr">
        <is>
          <t>原則 13</t>
        </is>
      </c>
      <c r="D251" s="39" t="inlineStr">
        <is>
          <t>Don’t over-do, proactive, some co-operation between departments may cause political issue. To set a line / boundary.</t>
        </is>
      </c>
      <c r="E251" s="40" t="inlineStr">
        <is>
          <t>Be proactive, but avoid overstepping. Dynamic cross-departmental collaboration can trigger organizational politics; establish clear lines and boundaries.</t>
        </is>
      </c>
      <c r="F251" s="41" t="inlineStr">
        <is>
          <t>保持積極主動，但切忌過度跨界。跨部門合作常牽涉組織政治，務必設定清晰的權責界線與分寸。</t>
        </is>
      </c>
      <c r="G251" s="42" t="inlineStr">
        <is>
          <t>做代誌雖然愛積極主動，毋過切莫撈過界、做過頭。跨部門合作定定牽涉組織政治，權責底線佮分寸定著愛劃予清楚。</t>
        </is>
      </c>
      <c r="H251" s="43" t="inlineStr"/>
      <c r="I251" s="39" t="inlineStr"/>
      <c r="J251" s="44" t="inlineStr"/>
      <c r="K251" s="45" t="inlineStr"/>
    </row>
    <row r="252" ht="24" customHeight="1">
      <c r="A252" s="26" t="inlineStr">
        <is>
          <t>Slide 5</t>
        </is>
      </c>
      <c r="B252" s="27" t="inlineStr">
        <is>
          <t>No. 250</t>
        </is>
      </c>
      <c r="C252" s="28" t="inlineStr">
        <is>
          <t>原則 13</t>
        </is>
      </c>
      <c r="D252" s="29" t="inlineStr">
        <is>
          <t>Try to co-work with slacker, procrastinator and ass-hole.</t>
        </is>
      </c>
      <c r="E252" s="30" t="inlineStr">
        <is>
          <t>Develop the professional tolerance to collaborate effectively with slackers, procrastinators, and difficult personalities.</t>
        </is>
      </c>
      <c r="F252" s="31" t="inlineStr">
        <is>
          <t>鍛鍊自己的職場適應力，學會與偷懶摸魚者、拖延症患者以及難以相處的人和平共事並拿到成果。</t>
        </is>
      </c>
      <c r="G252" s="32" t="inlineStr">
        <is>
          <t>磨練家己佇職場的適應力，愛會曉按怎佮摸蜊仔兼洗褲的、愛拖沙的，閣有歹剃頭、歹鬥陣的人和平共事，照常交出成果。</t>
        </is>
      </c>
      <c r="H252" s="33" t="inlineStr"/>
      <c r="I252" s="29" t="inlineStr"/>
      <c r="J252" s="34" t="inlineStr"/>
      <c r="K252" s="35" t="inlineStr"/>
    </row>
    <row r="253" ht="24" customHeight="1">
      <c r="A253" s="36" t="inlineStr">
        <is>
          <t>Slide 5</t>
        </is>
      </c>
      <c r="B253" s="37" t="inlineStr">
        <is>
          <t>No. 251</t>
        </is>
      </c>
      <c r="C253" s="38" t="inlineStr">
        <is>
          <t>原則 18</t>
        </is>
      </c>
      <c r="D253" s="39" t="inlineStr">
        <is>
          <t>Embrace it! If you're nervous, that's a good thing. It means you are likely to succeed, so accept that and embrace it.</t>
        </is>
      </c>
      <c r="E253" s="40" t="inlineStr">
        <is>
          <t>Embrace it! Feeling nervous is a good sign. It shows that you care and are prepared to succeed. Accept the feeling and leverage it.</t>
        </is>
      </c>
      <c r="F253" s="41" t="inlineStr">
        <is>
          <t>擁抱緊張感！感到緊張其實是好事，這代表你在乎、且很有可能取得成功。接受它並將它化為動力吧！</t>
        </is>
      </c>
      <c r="G253" s="42" t="inlineStr">
        <is>
          <t>歡喜接納緊張感！心肝頭會緊張顛倒是好代誌，代表你真看重這件事、閣真有機會成功。放心接受這股緊張，共伊化做向前衝的氣力！</t>
        </is>
      </c>
      <c r="H253" s="43" t="inlineStr"/>
      <c r="I253" s="39" t="inlineStr"/>
      <c r="J253" s="44" t="inlineStr"/>
      <c r="K253" s="45" t="inlineStr"/>
    </row>
    <row r="254" ht="24" customHeight="1">
      <c r="A254" s="26" t="inlineStr">
        <is>
          <t>Slide 5</t>
        </is>
      </c>
      <c r="B254" s="27" t="inlineStr">
        <is>
          <t>No. 252</t>
        </is>
      </c>
      <c r="C254" s="28" t="inlineStr">
        <is>
          <t>原則 18</t>
        </is>
      </c>
      <c r="D254" s="29" t="inlineStr">
        <is>
          <t>Stick with plan, principle you will thank you in the future. Don’t give up but take a rest. Time can solve most of them.</t>
        </is>
      </c>
      <c r="E254" s="30" t="inlineStr">
        <is>
          <t>Stick to your plans and principles; your future self will thank you. When exhausted, take a rest instead of giving up. Time has a way of resolving most challenges.</t>
        </is>
      </c>
      <c r="F254" s="31" t="inlineStr">
        <is>
          <t>堅守你的計畫與原則，未來的你定會感謝現在的自己。感到累了就休息，但不要輕易放棄，時間終會解決大部分的難題。</t>
        </is>
      </c>
      <c r="G254" s="32" t="inlineStr">
        <is>
          <t>堅定守牢你的計畫佮原則，後日的你定著會感謝這馬的家己。真忝的時陣就歇喘一下，千萬毋通放棄，時間自然會解決大部份的難題。</t>
        </is>
      </c>
      <c r="H254" s="33" t="inlineStr"/>
      <c r="I254" s="29" t="inlineStr"/>
      <c r="J254" s="34" t="inlineStr"/>
      <c r="K254" s="35" t="inlineStr"/>
    </row>
    <row r="255" ht="24" customHeight="1">
      <c r="A255" s="36" t="inlineStr">
        <is>
          <t>Slide 5</t>
        </is>
      </c>
      <c r="B255" s="37" t="inlineStr">
        <is>
          <t>No. 253</t>
        </is>
      </c>
      <c r="C255" s="38" t="inlineStr">
        <is>
          <t>原則 18</t>
        </is>
      </c>
      <c r="D255" s="39" t="inlineStr">
        <is>
          <t>Difficulties, issue, problem, question, dilemma, obstacle, bottleneck. Work with time. Setback, adversity.</t>
        </is>
      </c>
      <c r="E255" s="40" t="inlineStr">
        <is>
          <t>Navigate challenges, problems, dilemmas, bottlenecks, and setbacks with patience. Allow time to work in your favor as you overcome adversity.</t>
        </is>
      </c>
      <c r="F255" s="41" t="inlineStr">
        <is>
          <t>直面工作中的困難、瓶頸、困境與挫折。學會與時間做朋友，穩紮穩打度過逆境。</t>
        </is>
      </c>
      <c r="G255" s="42" t="inlineStr">
        <is>
          <t>正面迎接工課頂懸的困難、瓶頸、困境佮挫折。愛會曉佮時間做朋友，一步一跤印，穩紮穩打度過逆境。</t>
        </is>
      </c>
      <c r="H255" s="43" t="inlineStr"/>
      <c r="I255" s="39" t="inlineStr"/>
      <c r="J255" s="44" t="inlineStr"/>
      <c r="K255" s="45" t="inlineStr"/>
    </row>
    <row r="256" ht="24" customHeight="1">
      <c r="A256" s="26" t="inlineStr">
        <is>
          <t>Slide 6</t>
        </is>
      </c>
      <c r="B256" s="27" t="inlineStr">
        <is>
          <t>No. 254</t>
        </is>
      </c>
      <c r="C256" s="28" t="inlineStr">
        <is>
          <t>原則 3, 原則 16</t>
        </is>
      </c>
      <c r="D256" s="29" t="inlineStr">
        <is>
          <t>Refresh / retrospective flow, system and CIP continuously improvement Program , kaizen.發展最佳系統解(Best Known Method, BKM)</t>
        </is>
      </c>
      <c r="E256" s="30" t="inlineStr">
        <is>
          <t>Implement regular retrospects to review workflows and systems, establishing Continuous Improvement Programs (CIP / Kaizen) and documenting Best Known Methods (BKM).</t>
        </is>
      </c>
      <c r="F256" s="31" t="inlineStr">
        <is>
          <t>定期審視與回顧工作流程及系統，建立「持續改善計畫」（CIP/改善 Kaizen）並發展最佳實踐做法（BKM）。</t>
        </is>
      </c>
      <c r="G256" s="32" t="inlineStr">
        <is>
          <t>定期檢討佮覆盤做代誌的流程佮系統，推動「持續改善計畫」（CIP/Kaizen），共上好用的手路磨成最佳實踐（BKM）。</t>
        </is>
      </c>
      <c r="H256" s="33" t="inlineStr"/>
      <c r="I256" s="29" t="inlineStr"/>
      <c r="J256" s="34" t="inlineStr"/>
      <c r="K256" s="35" t="inlineStr"/>
    </row>
    <row r="257" ht="24" customHeight="1">
      <c r="A257" s="36" t="inlineStr">
        <is>
          <t>Slide 6</t>
        </is>
      </c>
      <c r="B257" s="37" t="inlineStr">
        <is>
          <t>No. 255</t>
        </is>
      </c>
      <c r="C257" s="38" t="inlineStr">
        <is>
          <t>原則 6, 原則 10</t>
        </is>
      </c>
      <c r="D257" s="39" t="inlineStr">
        <is>
          <t>Finding problems and developing thoughtful questions are survival skills, whether in the workplace or in daily living.</t>
        </is>
      </c>
      <c r="E257" s="40" t="inlineStr">
        <is>
          <t>Discovering problems and formulating thoughtful, deep questions are essential survival skills, both in your career and daily life.</t>
        </is>
      </c>
      <c r="F257" s="41" t="inlineStr">
        <is>
          <t>主動發現問題並提出有深度的關鍵提問，是職場與日常生活中至關重要的生存技能。</t>
        </is>
      </c>
      <c r="G257" s="42" t="inlineStr">
        <is>
          <t>會曉看著問題的癥結、提出有深度的關鍵提問，毋管佇職場抑是日常生活，攏是上要緊的生存本領。</t>
        </is>
      </c>
      <c r="H257" s="43" t="inlineStr"/>
      <c r="I257" s="39" t="inlineStr"/>
      <c r="J257" s="44" t="inlineStr"/>
      <c r="K257" s="45" t="inlineStr"/>
    </row>
    <row r="258" ht="24" customHeight="1">
      <c r="A258" s="26" t="inlineStr">
        <is>
          <t>Slide 6</t>
        </is>
      </c>
      <c r="B258" s="27" t="inlineStr">
        <is>
          <t>No. 256</t>
        </is>
      </c>
      <c r="C258" s="28" t="inlineStr">
        <is>
          <t>原則 2</t>
        </is>
      </c>
      <c r="D258" s="29" t="inlineStr">
        <is>
          <t>Not over-reply email next time if no feedback. Be patient.</t>
        </is>
      </c>
      <c r="E258" s="30" t="inlineStr">
        <is>
          <t>If you don't receive feedback on an email thread, avoid over-replying. Be patient and wait for the appropriate follow-up window.</t>
        </is>
      </c>
      <c r="F258" s="31" t="inlineStr">
        <is>
          <t>如果寄出的郵件沒有得到回饋，切勿急躁重複發信。保持耐性，靜待合適時機。</t>
        </is>
      </c>
      <c r="G258" s="32" t="inlineStr">
        <is>
          <t>寄出去的批信若無人應，莫性急直直催。愛有耐性，沓沓仔等候合適的時機。</t>
        </is>
      </c>
      <c r="H258" s="33" t="inlineStr"/>
      <c r="I258" s="29" t="inlineStr"/>
      <c r="J258" s="34" t="inlineStr"/>
      <c r="K258" s="35" t="inlineStr"/>
    </row>
    <row r="259" ht="24" customHeight="1">
      <c r="A259" s="36" t="inlineStr">
        <is>
          <t>Slide 6</t>
        </is>
      </c>
      <c r="B259" s="37" t="inlineStr">
        <is>
          <t>No. 257</t>
        </is>
      </c>
      <c r="C259" s="38" t="inlineStr">
        <is>
          <t>原則 17</t>
        </is>
      </c>
      <c r="D259" s="39" t="inlineStr">
        <is>
          <t>Try to ask / collect salary information from headhunter. ( important date, Off date, bonus, salary, interest increment, ESPP, RSU and children welfare and physical examination, Self-Service Welfare Plan. ) Total package, GYM facility, free lunch. (gross -&gt; net)</t>
        </is>
      </c>
      <c r="E259" s="40" t="inlineStr">
        <is>
          <t>Gather detailed compensation benchmarks from headhunters, including key timelines, base salary, bonuses, raises, ESPP, RSUs, family benefits, health checks, gym perks, and net take-home pay.</t>
        </is>
      </c>
      <c r="F259" s="41" t="inlineStr">
        <is>
          <t>向獵頭顧問收集全面的薪酬市場資訊，精確了解整體薪酬組合（含底薪、分紅、加薪率、ESPP、RSU、子女與健康福利、稅後淨收入等）。</t>
        </is>
      </c>
      <c r="G259" s="42" t="inlineStr">
        <is>
          <t>向獵頭顧問探聽全面的薪資行情，詳細摸清全套薪酬福利（包含底薪、分紅、調薪幅度、ESPP、RSU 股票、健檢、健身房、免費中晝頓佮囡仔福利，閣有扣稅了後實領的淨收入）。</t>
        </is>
      </c>
      <c r="H259" s="43" t="inlineStr"/>
      <c r="I259" s="39" t="inlineStr"/>
      <c r="J259" s="44" t="inlineStr"/>
      <c r="K259" s="45" t="inlineStr"/>
    </row>
    <row r="260" ht="24" customHeight="1">
      <c r="A260" s="26" t="inlineStr">
        <is>
          <t>Slide 6</t>
        </is>
      </c>
      <c r="B260" s="27" t="inlineStr">
        <is>
          <t>No. 258</t>
        </is>
      </c>
      <c r="C260" s="28" t="inlineStr">
        <is>
          <t>原則 16</t>
        </is>
      </c>
      <c r="D260" s="29" t="inlineStr">
        <is>
          <t>And new skill should be added and learned annually.</t>
        </is>
      </c>
      <c r="E260" s="30" t="inlineStr">
        <is>
          <t>Commit to acquiring and mastering at least one new professional skill every year.</t>
        </is>
      </c>
      <c r="F260" s="31" t="inlineStr">
        <is>
          <t>給自己設定目標：每年都必須主動學習並掌握一項全新技能，擴大自身價值。</t>
        </is>
      </c>
      <c r="G260" s="32" t="inlineStr">
        <is>
          <t>替家己設定目標：逐年攏愛主動學習並練成一項新工夫，擴大家己的身價佮價值。</t>
        </is>
      </c>
      <c r="H260" s="33" t="inlineStr"/>
      <c r="I260" s="29" t="inlineStr"/>
      <c r="J260" s="34" t="inlineStr"/>
      <c r="K260" s="35" t="inlineStr"/>
    </row>
    <row r="261" ht="24" customHeight="1">
      <c r="A261" s="36" t="inlineStr">
        <is>
          <t>Slide 6</t>
        </is>
      </c>
      <c r="B261" s="37" t="inlineStr">
        <is>
          <t>No. 259</t>
        </is>
      </c>
      <c r="C261" s="38" t="inlineStr">
        <is>
          <t>原則 1, 原則 13</t>
        </is>
      </c>
      <c r="D261" s="39" t="inlineStr">
        <is>
          <t>Early trigger and inform to the team ( as DRI or stakeholder) for applying holiday.</t>
        </is>
      </c>
      <c r="E261" s="40" t="inlineStr">
        <is>
          <t>When planning to apply for leave, trigger the notice early and inform your team and stakeholders, especially if you are the DRI (Directly Responsible Individual).</t>
        </is>
      </c>
      <c r="F261" s="41" t="inlineStr">
        <is>
          <t>安排請假時，務必提前啟動通知，告知你的團隊、代理人與相關利害關係人，特別是當你擔任主要負責人（DRI）時。</t>
        </is>
      </c>
      <c r="G261" s="42" t="inlineStr">
        <is>
          <t>安排請假的時陣，定著愛提早通知團隊、代理人佮相關的利害關係人，特別是當你擔任主要負責人（DRI）的時陣。</t>
        </is>
      </c>
      <c r="H261" s="43" t="inlineStr"/>
      <c r="I261" s="39" t="inlineStr"/>
      <c r="J261" s="44" t="inlineStr"/>
      <c r="K261" s="45" t="inlineStr"/>
    </row>
    <row r="262" ht="24" customHeight="1">
      <c r="A262" s="26" t="inlineStr">
        <is>
          <t>Slide 6</t>
        </is>
      </c>
      <c r="B262" s="27" t="inlineStr">
        <is>
          <t>No. 260</t>
        </is>
      </c>
      <c r="C262" s="28" t="inlineStr">
        <is>
          <t>原則 13</t>
        </is>
      </c>
      <c r="D262" s="29" t="inlineStr">
        <is>
          <t>They can take responsibility as adults.</t>
        </is>
      </c>
      <c r="E262" s="30" t="inlineStr">
        <is>
          <t>Recognize that your colleagues are adults; they can and should take responsibility for their own tasks and growth.</t>
        </is>
      </c>
      <c r="F262" s="31" t="inlineStr">
        <is>
          <t>明白你的同事都是成年人，怹能夠也應該為自己的工作成果與行為負起應有的責任。</t>
        </is>
      </c>
      <c r="G262" s="32" t="inlineStr">
        <is>
          <t>愛明白同事攏是大人，怹有本領、嘛應該為家己的工作成果佮言行負起責任，毋免你多操煩。</t>
        </is>
      </c>
      <c r="H262" s="33" t="inlineStr"/>
      <c r="I262" s="29" t="inlineStr"/>
      <c r="J262" s="34" t="inlineStr"/>
      <c r="K262" s="35" t="inlineStr"/>
    </row>
    <row r="263" ht="24" customHeight="1">
      <c r="A263" s="36" t="inlineStr">
        <is>
          <t>Slide 6</t>
        </is>
      </c>
      <c r="B263" s="37" t="inlineStr">
        <is>
          <t>No. 261</t>
        </is>
      </c>
      <c r="C263" s="38" t="inlineStr">
        <is>
          <t>原則 13</t>
        </is>
      </c>
      <c r="D263" s="39" t="inlineStr">
        <is>
          <t>Don’t be an ass hole. ( from zero rule.)</t>
        </is>
      </c>
      <c r="E263" s="40" t="inlineStr">
        <is>
          <t>Do not behave like an asshole. Adopt this as a foundational rule for professional conduct (No-Asshole Rule).</t>
        </is>
      </c>
      <c r="F263" s="41" t="inlineStr">
        <is>
          <t>切記不要成為一個討人厭的渾蛋（職場基本天條：No-Asshole Rule）。</t>
        </is>
      </c>
      <c r="G263" s="42" t="inlineStr">
        <is>
          <t>千萬莫做一个惹人嫌、歹鬥陣的奧人（職場基本天條：No-Asshole Rule）。</t>
        </is>
      </c>
      <c r="H263" s="43" t="inlineStr"/>
      <c r="I263" s="39" t="inlineStr"/>
      <c r="J263" s="44" t="inlineStr"/>
      <c r="K263" s="45" t="inlineStr"/>
    </row>
    <row r="264" ht="24" customHeight="1">
      <c r="A264" s="26" t="inlineStr">
        <is>
          <t>Slide 6</t>
        </is>
      </c>
      <c r="B264" s="27" t="inlineStr">
        <is>
          <t>No. 262</t>
        </is>
      </c>
      <c r="C264" s="28" t="inlineStr">
        <is>
          <t>原則 18</t>
        </is>
      </c>
      <c r="D264" s="29" t="inlineStr">
        <is>
          <t>Finding a mistake is good thing. Failure is a process and to success.</t>
        </is>
      </c>
      <c r="E264" s="30" t="inlineStr">
        <is>
          <t>Discovering mistakes is a positive outcomes. Setbacks and failures are necessary parts of the process toward eventual success.</t>
        </is>
      </c>
      <c r="F264" s="31" t="inlineStr">
        <is>
          <t>發現錯誤是件好事。失敗不是終點，而是通往成功必經的修正過程。</t>
        </is>
      </c>
      <c r="G264" s="32" t="inlineStr">
        <is>
          <t>揣出錯誤是一項好代誌。跋倒失敗毋是終點，是行向成功必經的調整過程。</t>
        </is>
      </c>
      <c r="H264" s="33" t="inlineStr"/>
      <c r="I264" s="29" t="inlineStr"/>
      <c r="J264" s="34" t="inlineStr"/>
      <c r="K264" s="35" t="inlineStr"/>
    </row>
    <row r="265" ht="24" customHeight="1">
      <c r="A265" s="36" t="inlineStr">
        <is>
          <t>Slide 6</t>
        </is>
      </c>
      <c r="B265" s="37" t="inlineStr">
        <is>
          <t>No. 263</t>
        </is>
      </c>
      <c r="C265" s="38" t="inlineStr">
        <is>
          <t>原則 12</t>
        </is>
      </c>
      <c r="D265" s="39" t="inlineStr">
        <is>
          <t>don’t do dumb shit. Notice you may be regretful after speaking out. Protect yourself.</t>
        </is>
      </c>
      <c r="E265" s="40" t="inlineStr">
        <is>
          <t>Do not do foolish things. Remember that words spoken in haste can lead to regret. Think first and protect yourself.</t>
        </is>
      </c>
      <c r="F265" s="41" t="inlineStr">
        <is>
          <t>不要做蠢事。記住，不經思考的話說出口往往會後悔。先想清楚再表態，以保護自己。</t>
        </is>
      </c>
      <c r="G265" s="42" t="inlineStr">
        <is>
          <t>莫做戇代誌。愛記牢，無深思的話一講出喙定定會後悔。先想予清爽才表態，好好保護家己。</t>
        </is>
      </c>
      <c r="H265" s="43" t="inlineStr"/>
      <c r="I265" s="39" t="inlineStr"/>
      <c r="J265" s="44" t="inlineStr"/>
      <c r="K265" s="45" t="inlineStr"/>
    </row>
    <row r="266" ht="24" customHeight="1">
      <c r="A266" s="26" t="inlineStr">
        <is>
          <t>Slide 6</t>
        </is>
      </c>
      <c r="B266" s="27" t="inlineStr">
        <is>
          <t>No. 264</t>
        </is>
      </c>
      <c r="C266" s="28" t="inlineStr">
        <is>
          <t>原則 2</t>
        </is>
      </c>
      <c r="D266" s="29" t="inlineStr">
        <is>
          <t>Use auto email reply when you are busy. Item 1. directly not reply. Email is big noise.</t>
        </is>
      </c>
      <c r="E266" s="30" t="inlineStr">
        <is>
          <t>Set up automatic email replies when you need to focus. Minimize unnecessary email interactions, as constant email checking creates major cognitive noise.</t>
        </is>
      </c>
      <c r="F266" s="31" t="inlineStr">
        <is>
          <t>忙碌或需專注時善用電子郵件自動回覆；減少無謂的郵件傳送，避免信箱成為干擾專注的巨型噪音源。</t>
        </is>
      </c>
      <c r="G266" s="32" t="inlineStr">
        <is>
          <t>當咧無閒抑是需要專心的時陣，善用電子批自動回覆；減少無要緊的批信往來，免得信箱變做干擾專注的大噪音源。（對照第1條）</t>
        </is>
      </c>
      <c r="H266" s="33" t="inlineStr"/>
      <c r="I266" s="29" t="inlineStr"/>
      <c r="J266" s="34" t="inlineStr"/>
      <c r="K266" s="35" t="inlineStr"/>
    </row>
    <row r="267" ht="24" customHeight="1">
      <c r="A267" s="36" t="inlineStr">
        <is>
          <t>Slide 6</t>
        </is>
      </c>
      <c r="B267" s="37" t="inlineStr">
        <is>
          <t>No. 265</t>
        </is>
      </c>
      <c r="C267" s="38" t="inlineStr">
        <is>
          <t>原則 18</t>
        </is>
      </c>
      <c r="D267" s="39" t="inlineStr">
        <is>
          <t>Forget about what you achieved. And understand why you fail.</t>
        </is>
      </c>
      <c r="E267" s="40" t="inlineStr">
        <is>
          <t>Do not rest on past achievements. Instead, analyze and deeply understand the root causes of your failures.</t>
        </is>
      </c>
      <c r="F267" s="41" t="inlineStr">
        <is>
          <t>忘記過去的光鮮成就，但要徹底研究並搞懂你之所以失敗的原因。</t>
        </is>
      </c>
      <c r="G267" s="42" t="inlineStr">
        <is>
          <t>共過去風光的成就放袂記，毋過愛澈底研究、真正弄清楚家己當初是為啥物會失敗。</t>
        </is>
      </c>
      <c r="H267" s="43" t="inlineStr"/>
      <c r="I267" s="39" t="inlineStr"/>
      <c r="J267" s="44" t="inlineStr"/>
      <c r="K267" s="45" t="inlineStr"/>
    </row>
    <row r="268" ht="24" customHeight="1">
      <c r="A268" s="26" t="inlineStr">
        <is>
          <t>Slide 6</t>
        </is>
      </c>
      <c r="B268" s="27" t="inlineStr">
        <is>
          <t>No. 266</t>
        </is>
      </c>
      <c r="C268" s="28" t="inlineStr">
        <is>
          <t>原則 9, 原則 13</t>
        </is>
      </c>
      <c r="D268" s="29" t="inlineStr">
        <is>
          <t>Use common language ( for each position ) to avoid misunderstand. Boundary.</t>
        </is>
      </c>
      <c r="E268" s="30" t="inlineStr">
        <is>
          <t>Establish a shared lexicon across different functions and positions to prevent miscommunication and clarify responsibility boundaries.</t>
        </is>
      </c>
      <c r="F268" s="31" t="inlineStr">
        <is>
          <t>在不同崗位間建立共通的工作語言，避免資訊傳遞誤解並明確溝通界線。</t>
        </is>
      </c>
      <c r="G268" s="32" t="inlineStr">
        <is>
          <t>無仝職位之間愛建立共通的行話佮共識，講話才袂話講無對盤、引起誤會，責任界線嘛才劃得清爽。</t>
        </is>
      </c>
      <c r="H268" s="33" t="inlineStr"/>
      <c r="I268" s="29" t="inlineStr"/>
      <c r="J268" s="34" t="inlineStr"/>
      <c r="K268" s="35" t="inlineStr"/>
    </row>
    <row r="269" ht="24" customHeight="1">
      <c r="A269" s="36" t="inlineStr">
        <is>
          <t>Slide 6</t>
        </is>
      </c>
      <c r="B269" s="37" t="inlineStr">
        <is>
          <t>No. 267</t>
        </is>
      </c>
      <c r="C269" s="38" t="inlineStr">
        <is>
          <t>原則 2, 原則 14</t>
        </is>
      </c>
      <c r="D269" s="39" t="inlineStr">
        <is>
          <t>Keep your mouth shunt on purpose, try to reply email later. Set a delayed delivery. Item 1.</t>
        </is>
      </c>
      <c r="E269" s="40" t="inlineStr">
        <is>
          <t>Deliberately keep your mouth shut and avoid instant reactions. Write your email responses, but set a delayed delivery to send them later. (Related to Item 1)</t>
        </is>
      </c>
      <c r="F269" s="41" t="inlineStr">
        <is>
          <t>刻意保持靜默，不意氣用事。寫信回覆後，設定延遲發送，給彼此多一點沉澱時間。（對照第1條）</t>
        </is>
      </c>
      <c r="G269" s="42" t="inlineStr">
        <is>
          <t>刁工保持恬靜，莫衝動意氣用事。批信寫好後設延遲寄出，留一寡時間予雙方沉澱心境。（對照第1條）</t>
        </is>
      </c>
      <c r="H269" s="43" t="inlineStr"/>
      <c r="I269" s="39" t="inlineStr"/>
      <c r="J269" s="44" t="inlineStr"/>
      <c r="K269" s="45" t="inlineStr"/>
    </row>
    <row r="270" ht="24" customHeight="1">
      <c r="A270" s="26" t="inlineStr">
        <is>
          <t>Slide 6</t>
        </is>
      </c>
      <c r="B270" s="27" t="inlineStr">
        <is>
          <t>No. 268</t>
        </is>
      </c>
      <c r="C270" s="28" t="inlineStr">
        <is>
          <t>原則 1, 原則 20</t>
        </is>
      </c>
      <c r="D270" s="29" t="inlineStr">
        <is>
          <t>Clean up your desk and add coming task in your calendar and turn off your laptop when you leave office. ( take it as ritual) item 211.</t>
        </is>
      </c>
      <c r="E270" s="30" t="inlineStr">
        <is>
          <t>Clean up your desk, schedule upcoming tasks into your calendar, and shut down your laptop when leaving the office. Treat this routine as a daily closing ritual. (Related to Item 211)</t>
        </is>
      </c>
      <c r="F270" s="31" t="inlineStr">
        <is>
          <t>下班前，清理乾淨桌面，將明日待辦事項排入行事曆，並確實關閉電腦。把這個收尾流程當作下班的儀式感。（對照第211條）</t>
        </is>
      </c>
      <c r="G270" s="32" t="inlineStr">
        <is>
          <t>落班進前，桌頂收予清氣，共明仔載愛做的工課排進行事曆，並確實共電腦關機。共這套收尾流程當做逐工落班的儀式感。（對照第211條）</t>
        </is>
      </c>
      <c r="H270" s="33" t="inlineStr"/>
      <c r="I270" s="29" t="inlineStr"/>
      <c r="J270" s="34" t="inlineStr"/>
      <c r="K270" s="35" t="inlineStr"/>
    </row>
    <row r="271" ht="24" customHeight="1">
      <c r="A271" s="36" t="inlineStr">
        <is>
          <t>Slide 6</t>
        </is>
      </c>
      <c r="B271" s="37" t="inlineStr">
        <is>
          <t>No. 269</t>
        </is>
      </c>
      <c r="C271" s="38" t="inlineStr">
        <is>
          <t>原則 20</t>
        </is>
      </c>
      <c r="D271" s="39" t="inlineStr">
        <is>
          <t>Take some rests for the future, your body and mentality and your families.</t>
        </is>
      </c>
      <c r="E271" s="40" t="inlineStr">
        <is>
          <t>Take adequate rest for the sake of your future, your physical and mental health, and the well-being of your family.</t>
        </is>
      </c>
      <c r="F271" s="41" t="inlineStr">
        <is>
          <t>為了走更長遠的路、也為了你的身心健康與家人，給自己留出充分休息的時間。</t>
        </is>
      </c>
      <c r="G271" s="42" t="inlineStr">
        <is>
          <t>為著欲行閣較長遠的路，嘛為著家己的身心健康佮厝內人，定著愛留予家己充足歇睏的時間。</t>
        </is>
      </c>
      <c r="H271" s="43" t="inlineStr"/>
      <c r="I271" s="39" t="inlineStr"/>
      <c r="J271" s="44" t="inlineStr"/>
      <c r="K271" s="45" t="inlineStr"/>
    </row>
    <row r="272" ht="24" customHeight="1">
      <c r="A272" s="26" t="inlineStr">
        <is>
          <t>Slide 6</t>
        </is>
      </c>
      <c r="B272" s="27" t="inlineStr">
        <is>
          <t>No. 270</t>
        </is>
      </c>
      <c r="C272" s="28" t="inlineStr">
        <is>
          <t>原則 17</t>
        </is>
      </c>
      <c r="D272" s="29" t="inlineStr">
        <is>
          <t>Sometimes we need to commit this job is a job to earn money for your family. It is about asset allocation. It may take longer to find the job you want to look for. Two engines. Financial intelligence.</t>
        </is>
      </c>
      <c r="E272" s="30" t="inlineStr">
        <is>
          <t>Recognize that a job primarily serves to generate cash flow for your family and asset allocation. Finding your ideal career takes time; build dual income engines and strengthen financial literacy.</t>
        </is>
      </c>
      <c r="F272" s="31" t="inlineStr">
        <is>
          <t>坦然接受工作首先是為家庭提供穩定現金流的資產配置工具。尋找理想職涯需要時間，應著手建立雙引擎並提升財務智商。</t>
        </is>
      </c>
      <c r="G272" s="32" t="inlineStr">
        <is>
          <t>愛認清頭路首先是替家庭創造穩定現金流的資產配置。揣理想頭路需要時間，打造雙引擎、提升財務頭腦才是真工夫。</t>
        </is>
      </c>
      <c r="H272" s="33" t="inlineStr"/>
      <c r="I272" s="29" t="inlineStr"/>
      <c r="J272" s="34" t="inlineStr"/>
      <c r="K272" s="35" t="inlineStr"/>
    </row>
    <row r="273" ht="24" customHeight="1">
      <c r="A273" s="36" t="inlineStr">
        <is>
          <t>Slide 6</t>
        </is>
      </c>
      <c r="B273" s="37" t="inlineStr">
        <is>
          <t>No. 271</t>
        </is>
      </c>
      <c r="C273" s="38" t="inlineStr">
        <is>
          <t>原則 20</t>
        </is>
      </c>
      <c r="D273" s="39" t="inlineStr">
        <is>
          <t>You don’t need to move fast but move with stable steps.</t>
        </is>
      </c>
      <c r="E273" s="40" t="inlineStr">
        <is>
          <t>You don't need to move fast, but you must move with steady and stable steps.</t>
        </is>
      </c>
      <c r="F273" s="41" t="inlineStr">
        <is>
          <t>你不需要追求跑得快，但每一步都要走得穩健扎實。</t>
        </is>
      </c>
      <c r="G273" s="42" t="inlineStr">
        <is>
          <t>你毋免貪走得緊，上要緊是每一步攏愛踏得穩扎穩打。</t>
        </is>
      </c>
      <c r="H273" s="43" t="inlineStr"/>
      <c r="I273" s="39" t="inlineStr"/>
      <c r="J273" s="44" t="inlineStr"/>
      <c r="K273" s="45" t="inlineStr"/>
    </row>
    <row r="274" ht="24" customHeight="1">
      <c r="A274" s="26" t="inlineStr">
        <is>
          <t>Slide 6</t>
        </is>
      </c>
      <c r="B274" s="27" t="inlineStr">
        <is>
          <t>No. 272</t>
        </is>
      </c>
      <c r="C274" s="28" t="inlineStr">
        <is>
          <t>原則 15, 原則 16</t>
        </is>
      </c>
      <c r="D274" s="29" t="inlineStr">
        <is>
          <t>"If I do a job in 30 minutes it’s because I spent 10 years learning how to do that in 30 minutes. You owe me for the years, not the minutes."​ But AI may take 1 min.</t>
        </is>
      </c>
      <c r="E274" s="30" t="inlineStr">
        <is>
          <t>"If I complete a job in 30 minutes, it is because I spent 10 years learning how to do it in 30 minutes. You are paying for the years, not the minutes." Yet today, AI might accomplish it in just 1 minute.</t>
        </is>
      </c>
      <c r="F274" s="31" t="inlineStr">
        <is>
          <t>「如果我能 30 分鐘完成工作，是因為我花了 10 年積累這份能力。你支付的是我十年的努力，而不是 30 分鐘。」然而在 AI 時代，相同任務可能只需 1 分鐘。</t>
        </is>
      </c>
      <c r="G274" s="32" t="inlineStr">
        <is>
          <t>「我若會當三十分鐘做完代誌，是因為我花十年功夫練出這身手路。你納的工錢是我十年的心血，毋是這三十分鐘。」毋過這馬 AI 時代，仝項工課可能只要一分鐘。</t>
        </is>
      </c>
      <c r="H274" s="33" t="inlineStr"/>
      <c r="I274" s="29" t="inlineStr"/>
      <c r="J274" s="34" t="inlineStr"/>
      <c r="K274" s="35" t="inlineStr"/>
    </row>
    <row r="275" ht="24" customHeight="1">
      <c r="A275" s="36" t="inlineStr">
        <is>
          <t>Slide 6</t>
        </is>
      </c>
      <c r="B275" s="37" t="inlineStr">
        <is>
          <t>No. 273</t>
        </is>
      </c>
      <c r="C275" s="38" t="inlineStr">
        <is>
          <t>原則 13</t>
        </is>
      </c>
      <c r="D275" s="39" t="inlineStr">
        <is>
          <t>be cruel to your colleagues. Their growth is not your responsibility. Item 234, 236</t>
        </is>
      </c>
      <c r="E275" s="40" t="inlineStr">
        <is>
          <t>Maintain professional detachment with colleagues; their professional growth is ultimately not your responsibility. (Related to Items 234 and 236)</t>
        </is>
      </c>
      <c r="F275" s="41" t="inlineStr">
        <is>
          <t>在職場上保持理性抽離。同事的個人成長與學習是他們自己的責任，而非你的義務。（對照第234、236條）</t>
        </is>
      </c>
      <c r="G275" s="42" t="inlineStr">
        <is>
          <t>佇職場上愛維持理性抽離。同事個人的成長佮造化是怹家己的責任，毋是你的擔當。（對照第234、236條）</t>
        </is>
      </c>
      <c r="H275" s="43" t="inlineStr"/>
      <c r="I275" s="39" t="inlineStr"/>
      <c r="J275" s="44" t="inlineStr"/>
      <c r="K275" s="45" t="inlineStr"/>
    </row>
    <row r="276" ht="24" customHeight="1">
      <c r="A276" s="26" t="inlineStr">
        <is>
          <t>Slide 6</t>
        </is>
      </c>
      <c r="B276" s="27" t="inlineStr">
        <is>
          <t>No. 274</t>
        </is>
      </c>
      <c r="C276" s="28" t="inlineStr">
        <is>
          <t>原則 6, 原則 17</t>
        </is>
      </c>
      <c r="D276" s="29" t="inlineStr">
        <is>
          <t>Understand market rules, so you may not go to wrong way and save time.</t>
        </is>
      </c>
      <c r="E276" s="30" t="inlineStr">
        <is>
          <t>Understand market dynamics and regulatory rules. This ensures you do not waste time heading in the wrong direction.</t>
        </is>
      </c>
      <c r="F276" s="31" t="inlineStr">
        <is>
          <t>透徹理解市場規律與遊戲規則，這能幫你指引正確的方向，節省摸索的時間。</t>
        </is>
      </c>
      <c r="G276" s="32" t="inlineStr">
        <is>
          <t>透徹理解市場的規律佮遊戲規則，按呢才會當行著正路，省去戇戇摸索的寶貴時間。</t>
        </is>
      </c>
      <c r="H276" s="33" t="inlineStr"/>
      <c r="I276" s="29" t="inlineStr"/>
      <c r="J276" s="34" t="inlineStr"/>
      <c r="K276" s="35" t="inlineStr"/>
    </row>
    <row r="277" ht="24" customHeight="1">
      <c r="A277" s="36" t="inlineStr">
        <is>
          <t>Slide 6</t>
        </is>
      </c>
      <c r="B277" s="37" t="inlineStr">
        <is>
          <t>No. 275</t>
        </is>
      </c>
      <c r="C277" s="38" t="inlineStr">
        <is>
          <t>原則 4</t>
        </is>
      </c>
      <c r="D277" s="39" t="inlineStr">
        <is>
          <t>Use better naming, even longer string to identify. Therefore, it is easier to find the document. Item 203</t>
        </is>
      </c>
      <c r="E277" s="40" t="inlineStr">
        <is>
          <t>Use clear, descriptive, and even longer file-naming conventions to ensure documents are easily searchable and identifiable. (Related to Item 203)</t>
        </is>
      </c>
      <c r="F277" s="41" t="inlineStr">
        <is>
          <t>採用清晰、具描述性且足夠長的命名規範。這樣日後在檢索與查找檔案時會容易許多。（對照第203條）</t>
        </is>
      </c>
      <c r="G277" s="42" t="inlineStr">
        <is>
          <t>檔案取名愛清楚詳細、字數較長無要緊。按呢日後佇搜揣檔案的時陣，才會利便閣順手。（對照第203條）</t>
        </is>
      </c>
      <c r="H277" s="43" t="inlineStr"/>
      <c r="I277" s="39" t="inlineStr"/>
      <c r="J277" s="44" t="inlineStr"/>
      <c r="K277" s="45" t="inlineStr"/>
    </row>
    <row r="278" ht="24" customHeight="1">
      <c r="A278" s="26" t="inlineStr">
        <is>
          <t>Slide 6</t>
        </is>
      </c>
      <c r="B278" s="27" t="inlineStr">
        <is>
          <t>No. 276</t>
        </is>
      </c>
      <c r="C278" s="28" t="inlineStr">
        <is>
          <t>原則 3, 原則 6</t>
        </is>
      </c>
      <c r="D278" s="29" t="inlineStr">
        <is>
          <t>Use one page to describe current project status, flow and identify folder / tools to be used. DRI / schedule.</t>
        </is>
      </c>
      <c r="E278" s="30" t="inlineStr">
        <is>
          <t>Summarize the project status, workflow, directories, tools, key DRIs, and schedules into a single page for quick alignment.</t>
        </is>
      </c>
      <c r="F278" s="31" t="inlineStr">
        <is>
          <t>用一頁紙概述當前專案狀態、工作流，並明定所使用的資料夾、工具、各窗口責任歸屬（DRI）與排程。</t>
        </is>
      </c>
      <c r="G278" s="32" t="inlineStr">
        <is>
          <t>用一張紙寫明專案進度佮工課流程，清清楚楚交代資料夾、所用的工具、主責人（DRI）佮時程安排。</t>
        </is>
      </c>
      <c r="H278" s="33" t="inlineStr"/>
      <c r="I278" s="29" t="inlineStr"/>
      <c r="J278" s="34" t="inlineStr"/>
      <c r="K278" s="35" t="inlineStr"/>
    </row>
    <row r="279" ht="24" customHeight="1">
      <c r="A279" s="36" t="inlineStr">
        <is>
          <t>Slide 6</t>
        </is>
      </c>
      <c r="B279" s="37" t="inlineStr">
        <is>
          <t>No. 277</t>
        </is>
      </c>
      <c r="C279" s="38" t="inlineStr">
        <is>
          <t>原則 16</t>
        </is>
      </c>
      <c r="D279" s="39" t="inlineStr">
        <is>
          <t>Don’t be afraid to re-start. Through redoing one thing, you will optimize the efficiency and understand more. ( you may teach others what you learned. To build an expert mindset.</t>
        </is>
      </c>
      <c r="E279" s="40" t="inlineStr">
        <is>
          <t>Never fear starting over. By redoing a task, you optimize efficiency, gain deeper insights, and build an expert mindset by teaching others what you have learned.</t>
        </is>
      </c>
      <c r="F279" s="41" t="inlineStr">
        <is>
          <t>不要害怕重頭來過。透過重複做同一件事，你能優化效率並獲得更深層的理解，進而能教導他人，建立你的專家思維。</t>
        </is>
      </c>
      <c r="G279" s="42" t="inlineStr">
        <is>
          <t>毋免驚重新起手。透過重複做仝一項工課，你才會當共手路磨甲熟閣巧、悟出深道理，進一步有本領教別人，建立專家的頭殼思維。</t>
        </is>
      </c>
      <c r="H279" s="43" t="inlineStr"/>
      <c r="I279" s="39" t="inlineStr"/>
      <c r="J279" s="44" t="inlineStr"/>
      <c r="K279" s="45" t="inlineStr"/>
    </row>
    <row r="280" ht="24" customHeight="1">
      <c r="A280" s="26" t="inlineStr">
        <is>
          <t>Slide 6</t>
        </is>
      </c>
      <c r="B280" s="27" t="inlineStr">
        <is>
          <t>No. 278</t>
        </is>
      </c>
      <c r="C280" s="28" t="inlineStr">
        <is>
          <t>原則 11, 原則 14</t>
        </is>
      </c>
      <c r="D280" s="29" t="inlineStr">
        <is>
          <t>Don’t make joke which others may not take it as a joke. Keep mouth shunt and focus on tasks. Item 292. Keep silent before you reach the goal.</t>
        </is>
      </c>
      <c r="E280" s="30" t="inlineStr">
        <is>
          <t>Do not make jokes that others might take seriously or find offensive. Keep your mouth shut, stay quiet, and focus on execution until your goals are met. (Related to Item 292)</t>
        </is>
      </c>
      <c r="F280" s="31" t="inlineStr">
        <is>
          <t>不要開那些可能讓別人覺得不好笑或受冒犯的玩笑。保持靜默，專注於任務執行，在達成目標前無須多言。（對照第292條）</t>
        </is>
      </c>
      <c r="G280" s="32" t="inlineStr">
        <is>
          <t>莫講彼種人聽著袂趣味抑是會受冒犯的笑詼。收斂口舌、保持恬靜，一心專注佇工課頂，目標猶未達成進前，毋免加講話。（對照第292條）</t>
        </is>
      </c>
      <c r="H280" s="33" t="inlineStr"/>
      <c r="I280" s="29" t="inlineStr"/>
      <c r="J280" s="34" t="inlineStr"/>
      <c r="K280" s="35" t="inlineStr"/>
    </row>
    <row r="281" ht="24" customHeight="1">
      <c r="A281" s="36" t="inlineStr">
        <is>
          <t>Slide 6</t>
        </is>
      </c>
      <c r="B281" s="37" t="inlineStr">
        <is>
          <t>No. 279</t>
        </is>
      </c>
      <c r="C281" s="38" t="inlineStr">
        <is>
          <t>原則 11, 原則 13</t>
        </is>
      </c>
      <c r="D281" s="39" t="inlineStr">
        <is>
          <t>Don’t ask questions if you won’t never get a correct answers or reply. Or it is too sensitive. ( too personal)</t>
        </is>
      </c>
      <c r="E281" s="40" t="inlineStr">
        <is>
          <t>Refrain from asking questions when you know you will not receive an honest answer, or when the topic is overly sensitive and personal.</t>
        </is>
      </c>
      <c r="F281" s="41" t="inlineStr">
        <is>
          <t>若明知無法獲得真實答覆，或議題過於敏感私密，就切勿貿然追問。</t>
        </is>
      </c>
      <c r="G281" s="42" t="inlineStr">
        <is>
          <t>若早知影問袂出老實的回答，抑是話題傷過敏感私密，就千萬毋通魯莽苦苦追問。</t>
        </is>
      </c>
      <c r="H281" s="43" t="inlineStr"/>
      <c r="I281" s="39" t="inlineStr"/>
      <c r="J281" s="44" t="inlineStr"/>
      <c r="K281" s="45" t="inlineStr"/>
    </row>
    <row r="282" ht="24" customHeight="1">
      <c r="A282" s="26" t="inlineStr">
        <is>
          <t>Slide 6</t>
        </is>
      </c>
      <c r="B282" s="27" t="inlineStr">
        <is>
          <t>No. 280</t>
        </is>
      </c>
      <c r="C282" s="28" t="inlineStr">
        <is>
          <t>原則 8, 原則 9</t>
        </is>
      </c>
      <c r="D282" s="29" t="inlineStr">
        <is>
          <t>If not understandable, “please ask again by using other words”. Can you elaborate more? And what is the goal purpose.</t>
        </is>
      </c>
      <c r="E282" s="30" t="inlineStr">
        <is>
          <t>If a request is unclear, ask: 'Could you please elaborate or rephrase using different words?' Seek to understand the ultimate goal and purpose.</t>
        </is>
      </c>
      <c r="F282" s="31" t="inlineStr">
        <is>
          <t>如果無法理解對方的意思，大方提出：「請換個說法再說明一次好嗎？」引導對方詳加說明，並釐清任務的核心目的與標的。</t>
        </is>
      </c>
      <c r="G282" s="32" t="inlineStr">
        <is>
          <t>若一時聽無對方的意思，會當大方開喙：「敢會使換一種講法閣說明一擺？」引導對方講予詳細，問明工課的核心目的佮方向。</t>
        </is>
      </c>
      <c r="H282" s="33" t="inlineStr"/>
      <c r="I282" s="29" t="inlineStr"/>
      <c r="J282" s="34" t="inlineStr"/>
      <c r="K282" s="35" t="inlineStr"/>
    </row>
    <row r="283" ht="24" customHeight="1">
      <c r="A283" s="36" t="inlineStr">
        <is>
          <t>Slide 6</t>
        </is>
      </c>
      <c r="B283" s="37" t="inlineStr">
        <is>
          <t>No. 281</t>
        </is>
      </c>
      <c r="C283" s="38" t="inlineStr">
        <is>
          <t>原則 20</t>
        </is>
      </c>
      <c r="D283" s="39" t="inlineStr">
        <is>
          <t>Need to lock the screen when leaving., clean up desktop especially holiday.</t>
        </is>
      </c>
      <c r="E283" s="40" t="inlineStr">
        <is>
          <t>Always lock your computer screen when stepping away, and clean up your desk, especially before leaving for holidays.</t>
        </is>
      </c>
      <c r="F283" s="41" t="inlineStr">
        <is>
          <t>離開座位時務必鎖定電腦螢幕。下班或放長假前，將辦公桌面清理乾淨以求資訊安全與整潔。</t>
        </is>
      </c>
      <c r="G283" s="42" t="inlineStr">
        <is>
          <t>離開座位的時陣定著愛共電腦螢幕鎖牢。落班抑是放長假進前，共桌頂整理予清氣整齊，顧好資安佮門面。</t>
        </is>
      </c>
      <c r="H283" s="43" t="inlineStr"/>
      <c r="I283" s="39" t="inlineStr"/>
      <c r="J283" s="44" t="inlineStr"/>
      <c r="K283" s="45" t="inlineStr"/>
    </row>
    <row r="284" ht="24" customHeight="1">
      <c r="A284" s="26" t="inlineStr">
        <is>
          <t>Slide 6</t>
        </is>
      </c>
      <c r="B284" s="27" t="inlineStr">
        <is>
          <t>No. 282</t>
        </is>
      </c>
      <c r="C284" s="28" t="inlineStr">
        <is>
          <t>原則 9</t>
        </is>
      </c>
      <c r="D284" s="29" t="inlineStr">
        <is>
          <t>Say “you are right” instead of defense. Ex, but.</t>
        </is>
      </c>
      <c r="E284" s="30" t="inlineStr">
        <is>
          <t>When receiving criticism, start by saying 'You are right' to disarm defense, instead of immediately leading with words like 'but' or 'however'.</t>
        </is>
      </c>
      <c r="F284" s="31" t="inlineStr">
        <is>
          <t>面對質疑或意見時，先說「你是對的」來消弭對立，切忌急著用「但是」等否定詞自我辯解。</t>
        </is>
      </c>
      <c r="G284" s="32" t="inlineStr">
        <is>
          <t>面對別人的意見抑是質疑，先講一句「你講的有影有理」來化解對立，千萬莫一開喙就用「毋過」急欲替家己辯駁解說。</t>
        </is>
      </c>
      <c r="H284" s="33" t="inlineStr"/>
      <c r="I284" s="29" t="inlineStr"/>
      <c r="J284" s="34" t="inlineStr"/>
      <c r="K284" s="35" t="inlineStr"/>
    </row>
    <row r="285" ht="24" customHeight="1">
      <c r="A285" s="36" t="inlineStr">
        <is>
          <t>Slide 6</t>
        </is>
      </c>
      <c r="B285" s="37" t="inlineStr">
        <is>
          <t>No. 283</t>
        </is>
      </c>
      <c r="C285" s="38" t="inlineStr">
        <is>
          <t>原則 18</t>
        </is>
      </c>
      <c r="D285" s="39" t="inlineStr">
        <is>
          <t>To accept uncertainty. That is a normal condition in the future. Changing is an unchangeable fact. Well-prepared, strong-willed, growth mindset and mature-minded. Item 296.</t>
        </is>
      </c>
      <c r="E285" s="40" t="inlineStr">
        <is>
          <t>Accept uncertainty as a permanent state. Change is the only constant. Keep yourself well-prepared, strong-willed, growth-oriented, and mature. (Related to Item 296)</t>
        </is>
      </c>
      <c r="F285" s="41" t="inlineStr">
        <is>
          <t>學會接受不確定性是未來的常態。改變是唯一不變的事實。隨時做好準備，保持堅韌的意志、成長型思維與成熟的心態。（對照第296條）</t>
        </is>
      </c>
      <c r="G285" s="42" t="inlineStr">
        <is>
          <t>學會曉坦然接納「無法度預料」是未來的常態。世事變化是唯一無變的道理。隨時做足準備，抱持堅強的意志、成長的心態佮沉穩的修養。（對照第296條）</t>
        </is>
      </c>
      <c r="H285" s="43" t="inlineStr"/>
      <c r="I285" s="39" t="inlineStr"/>
      <c r="J285" s="44" t="inlineStr"/>
      <c r="K285" s="45" t="inlineStr"/>
    </row>
    <row r="286" ht="24" customHeight="1">
      <c r="A286" s="26" t="inlineStr">
        <is>
          <t>Slide 6</t>
        </is>
      </c>
      <c r="B286" s="27" t="inlineStr">
        <is>
          <t>No. 284</t>
        </is>
      </c>
      <c r="C286" s="28" t="inlineStr">
        <is>
          <t>原則 6, 原則 12</t>
        </is>
      </c>
      <c r="D286" s="29" t="inlineStr">
        <is>
          <t>Raise your hand and call for help if this is not in your control. Role/ responsibility.</t>
        </is>
      </c>
      <c r="E286" s="30" t="inlineStr">
        <is>
          <t>Raise your hand and request support promptly when issues exceed your control or fall outside your designated role and responsibility.</t>
        </is>
      </c>
      <c r="F286" s="31" t="inlineStr">
        <is>
          <t>當問題超出個人掌控或權責範圍時，應及時舉手求助，釐清角色與責任。</t>
        </is>
      </c>
      <c r="G286" s="32" t="inlineStr">
        <is>
          <t>代誌若超出家己管會著的範疇抑是職責，著愛即時舉手借力、喝鬥相共，共分工界線劃清爽。</t>
        </is>
      </c>
      <c r="H286" s="33" t="inlineStr"/>
      <c r="I286" s="29" t="inlineStr"/>
      <c r="J286" s="34" t="inlineStr"/>
      <c r="K286" s="35" t="inlineStr"/>
    </row>
    <row r="287" ht="24" customHeight="1">
      <c r="A287" s="36" t="inlineStr">
        <is>
          <t>Slide 6</t>
        </is>
      </c>
      <c r="B287" s="37" t="inlineStr">
        <is>
          <t>No. 285</t>
        </is>
      </c>
      <c r="C287" s="38" t="inlineStr">
        <is>
          <t>原則 11, 原則 12</t>
        </is>
      </c>
      <c r="D287" s="39" t="inlineStr">
        <is>
          <t>Dare to reject the requests which are not reasonable. Be careful with office politics. State R/R clearly.</t>
        </is>
      </c>
      <c r="E287" s="40" t="inlineStr">
        <is>
          <t>Have the courage to decline unreasonable requests. Navigate office politics cautiously and define roles and responsibilities (R/R) clearly.</t>
        </is>
      </c>
      <c r="F287" s="41" t="inlineStr">
        <is>
          <t>勇敢拒絕對方不合理的請求。謹慎應對辦公室政治，明確界定並劃清角色與職責邊界（R/R）。</t>
        </is>
      </c>
      <c r="G287" s="42" t="inlineStr">
        <is>
          <t>愛有膽量推辭無合情理的要求。細膩應對會社內的政治角力，共角色佮職責邊界（R/R）劃清明白。</t>
        </is>
      </c>
      <c r="H287" s="43" t="inlineStr"/>
      <c r="I287" s="39" t="inlineStr"/>
      <c r="J287" s="44" t="inlineStr"/>
      <c r="K287" s="45" t="inlineStr"/>
    </row>
    <row r="288" ht="24" customHeight="1">
      <c r="A288" s="26" t="inlineStr">
        <is>
          <t>Slide 6</t>
        </is>
      </c>
      <c r="B288" s="27" t="inlineStr">
        <is>
          <t>No. 286</t>
        </is>
      </c>
      <c r="C288" s="28" t="inlineStr">
        <is>
          <t>原則 6, 原則 7</t>
        </is>
      </c>
      <c r="D288" s="29" t="inlineStr">
        <is>
          <t>You cannot do everything in one time. Set up a plan, breakdown the sub-tasks. Small win.</t>
        </is>
      </c>
      <c r="E288" s="30" t="inlineStr">
        <is>
          <t>You cannot accomplish everything at once. Formulate a structured plan, break down sub-tasks, and build momentum through small wins.</t>
        </is>
      </c>
      <c r="F288" s="31" t="inlineStr">
        <is>
          <t>無法一口吃成胖子。制定周全計畫並拆解子任務，靠累積「小勝」一步步推進。</t>
        </is>
      </c>
      <c r="G288" s="32" t="inlineStr">
        <is>
          <t>做代誌無可能一喙哺做大肥。愛定好計畫、共大工課拆細項，靠著一步一步積累「小贏」，沓沓仔行向大成功。</t>
        </is>
      </c>
      <c r="H288" s="33" t="inlineStr"/>
      <c r="I288" s="29" t="inlineStr"/>
      <c r="J288" s="34" t="inlineStr"/>
      <c r="K288" s="35" t="inlineStr"/>
    </row>
    <row r="289" ht="24" customHeight="1">
      <c r="A289" s="36" t="inlineStr">
        <is>
          <t>Slide 6</t>
        </is>
      </c>
      <c r="B289" s="37" t="inlineStr">
        <is>
          <t>No. 287</t>
        </is>
      </c>
      <c r="C289" s="38" t="inlineStr">
        <is>
          <t>原則 7</t>
        </is>
      </c>
      <c r="D289" s="39" t="inlineStr">
        <is>
          <t>Do right vs Do quick. It depends on situations. Item 312. fast fail and do It again. Finish vs start.</t>
        </is>
      </c>
      <c r="E289" s="40" t="inlineStr">
        <is>
          <t>Balance doing things correctly versus doing them quickly depending on the situation (Related to Item 312). Practice fast failure, iterate quickly, and focus on finishing what you start.</t>
        </is>
      </c>
      <c r="F289" s="41" t="inlineStr">
        <is>
          <t>做對還是做快？這取決於具體情境（對照第312條）。快速嘗試、快速失敗並立刻修正，專注於完成任務而非只是盲目開頭。</t>
        </is>
      </c>
      <c r="G289" s="42" t="inlineStr">
        <is>
          <t>做著好、抑是做緊好？這著看局勢判定（對照第312條）。跤步愛緊，試著毋著隨修正，心神愛專注佇共代誌收尾做煞，毋是干焦會曉開頭。</t>
        </is>
      </c>
      <c r="H289" s="43" t="inlineStr"/>
      <c r="I289" s="39" t="inlineStr"/>
      <c r="J289" s="44" t="inlineStr"/>
      <c r="K289" s="45" t="inlineStr"/>
    </row>
    <row r="290" ht="24" customHeight="1">
      <c r="A290" s="26" t="inlineStr">
        <is>
          <t>Slide 6</t>
        </is>
      </c>
      <c r="B290" s="27" t="inlineStr">
        <is>
          <t>No. 288</t>
        </is>
      </c>
      <c r="C290" s="28" t="inlineStr">
        <is>
          <t>原則 18</t>
        </is>
      </c>
      <c r="D290" s="29" t="inlineStr">
        <is>
          <t>No mercy. No one care who you are. World keep spinning whatever you think about it. Focus on what you want to achieve.</t>
        </is>
      </c>
      <c r="E290" s="30" t="inlineStr">
        <is>
          <t>Understand that the world is indifferent; it will keep spinning regardless of your feelings. Eliminate self-pity and focus single-mindedly on what you want to achieve.</t>
        </is>
      </c>
      <c r="F290" s="31" t="inlineStr">
        <is>
          <t>職場無情。沒有人會在乎你的個人情緒，不論你怎麼想，地球依然在轉動。放下自憐，專注於你想達成的成果。</t>
        </is>
      </c>
      <c r="G290" s="32" t="inlineStr">
        <is>
          <t>職場本底就現實無情。無人會插你的個人情緒抑是鬱卒，毋管你按怎想，地球照常咧踅。共自怨自嘆的心收起來，心神專注佇你想欲拚出的成果。</t>
        </is>
      </c>
      <c r="H290" s="33" t="inlineStr"/>
      <c r="I290" s="29" t="inlineStr"/>
      <c r="J290" s="34" t="inlineStr"/>
      <c r="K290" s="35" t="inlineStr"/>
    </row>
    <row r="291" ht="24" customHeight="1">
      <c r="A291" s="36" t="inlineStr">
        <is>
          <t>Slide 6</t>
        </is>
      </c>
      <c r="B291" s="37" t="inlineStr">
        <is>
          <t>No. 289</t>
        </is>
      </c>
      <c r="C291" s="38" t="inlineStr">
        <is>
          <t>原則 18</t>
        </is>
      </c>
      <c r="D291" s="39" t="inlineStr">
        <is>
          <t>Look the bright side, be optimistic.</t>
        </is>
      </c>
      <c r="E291" s="40" t="inlineStr">
        <is>
          <t>Always look on the bright side and maintain an optimistic, solution-oriented mindset.</t>
        </is>
      </c>
      <c r="F291" s="41" t="inlineStr">
        <is>
          <t>凡事多看光明面，保持樂觀且凡事尋求解決方案的積極心態。</t>
        </is>
      </c>
      <c r="G291" s="42" t="inlineStr">
        <is>
          <t>凡事加看向光明好的一面，心懷開朗樂觀，凡事揣解法，時常保持積極進取的氣性。</t>
        </is>
      </c>
      <c r="H291" s="43" t="inlineStr"/>
      <c r="I291" s="39" t="inlineStr"/>
      <c r="J291" s="44" t="inlineStr"/>
      <c r="K291" s="45" t="inlineStr"/>
    </row>
    <row r="292" ht="24" customHeight="1">
      <c r="A292" s="26" t="inlineStr">
        <is>
          <t>Slide 6</t>
        </is>
      </c>
      <c r="B292" s="27" t="inlineStr">
        <is>
          <t>No. 290</t>
        </is>
      </c>
      <c r="C292" s="28" t="inlineStr">
        <is>
          <t>原則 6, 原則 13</t>
        </is>
      </c>
      <c r="D292" s="29" t="inlineStr">
        <is>
          <t>State the responsibility and role clearly. R/R.</t>
        </is>
      </c>
      <c r="E292" s="30" t="inlineStr">
        <is>
          <t>Always clarify and define roles and responsibilities (R/R) at the start of any cooperation.</t>
        </is>
      </c>
      <c r="F292" s="31" t="inlineStr">
        <is>
          <t>在任何合作案開跑前，務必明確界定角色與職責邊界（R/R）。</t>
        </is>
      </c>
      <c r="G292" s="32" t="inlineStr">
        <is>
          <t>佇任何合作案起鼓進前，定著愛共各人的角色佮職責邊界（R/R）講清講白，免得日後生爭差。</t>
        </is>
      </c>
      <c r="H292" s="33" t="inlineStr"/>
      <c r="I292" s="29" t="inlineStr"/>
      <c r="J292" s="34" t="inlineStr"/>
      <c r="K292" s="35" t="inlineStr"/>
    </row>
    <row r="293" ht="24" customHeight="1">
      <c r="A293" s="36" t="inlineStr">
        <is>
          <t>Slide 6</t>
        </is>
      </c>
      <c r="B293" s="37" t="inlineStr">
        <is>
          <t>No. 291</t>
        </is>
      </c>
      <c r="C293" s="38" t="inlineStr">
        <is>
          <t>原則 11, 原則 19</t>
        </is>
      </c>
      <c r="D293" s="39" t="inlineStr">
        <is>
          <t>Deliberately not to engaged or not criticize and take a break. Be still, not pursuit” productivities.” chose the battle.</t>
        </is>
      </c>
      <c r="E293" s="40" t="inlineStr">
        <is>
          <t>Deliberately choose not to engage or criticize. Take a break, be still, and stop chasing toxic 'productivity.' Choose your battles wisely.</t>
        </is>
      </c>
      <c r="F293" s="41" t="inlineStr">
        <is>
          <t>刻意選擇不介入爭論、不批評他人。適時給自己放假、讓心靜下來，無須盲目追求所謂的「高生產力」，挑選真正屬於你的戰役。</t>
        </is>
      </c>
      <c r="G293" s="42" t="inlineStr">
        <is>
          <t>刻意選擇莫插是非、莫隨便批評別人。適度予家己歇睏、予心靜落來，毋免戇戇追逐盲目的「高生產力」，認清真正值得你出手的戰場。</t>
        </is>
      </c>
      <c r="H293" s="43" t="inlineStr"/>
      <c r="I293" s="39" t="inlineStr"/>
      <c r="J293" s="44" t="inlineStr"/>
      <c r="K293" s="45" t="inlineStr"/>
    </row>
    <row r="294" ht="24" customHeight="1">
      <c r="A294" s="26" t="inlineStr">
        <is>
          <t>Slide 6</t>
        </is>
      </c>
      <c r="B294" s="27" t="inlineStr">
        <is>
          <t>No. 292</t>
        </is>
      </c>
      <c r="C294" s="28" t="inlineStr">
        <is>
          <t>原則 18</t>
        </is>
      </c>
      <c r="D294" s="29" t="inlineStr">
        <is>
          <t>Forget about emotion and focus on problem solving and grown. Improve the quality of life, better communication and WoW.</t>
        </is>
      </c>
      <c r="E294" s="30" t="inlineStr">
        <is>
          <t>Set aside emotions; focus on problem-solving and professional growth. Improve your quality of life through better communication and refined WoW.</t>
        </is>
      </c>
      <c r="F294" s="31" t="inlineStr">
        <is>
          <t>拋開情緒用事，專注於解決問題與自我成長。藉由改善溝通技巧與優化工作方法論（WoW），提昇你的生活品質。</t>
        </is>
      </c>
      <c r="G294" s="32" t="inlineStr">
        <is>
          <t>共情緒囥一邊，專心用佇解決困難佮家己的成長。透過改進溝通手路佮優化做事步數（WoW），來提升生活品質。</t>
        </is>
      </c>
      <c r="H294" s="33" t="inlineStr"/>
      <c r="I294" s="29" t="inlineStr"/>
      <c r="J294" s="34" t="inlineStr"/>
      <c r="K294" s="35" t="inlineStr"/>
    </row>
    <row r="295" ht="24" customHeight="1">
      <c r="A295" s="36" t="inlineStr">
        <is>
          <t>Slide 6</t>
        </is>
      </c>
      <c r="B295" s="37" t="inlineStr">
        <is>
          <t>No. 293</t>
        </is>
      </c>
      <c r="C295" s="38" t="inlineStr">
        <is>
          <t>原則 18</t>
        </is>
      </c>
      <c r="D295" s="39" t="inlineStr">
        <is>
          <t>Repeating is part of learning. Try to enjoy it. Rep by rep, brick by brick.</t>
        </is>
      </c>
      <c r="E295" s="40" t="inlineStr">
        <is>
          <t>Repetition is a fundamental part of learning. Learn to enjoy the process—rep by rep, brick by brick.</t>
        </is>
      </c>
      <c r="F295" s="41" t="inlineStr">
        <is>
          <t>重複練習是學習不可或缺的過程。試著去享受它，一次又一次、一磚一瓦積累實力。</t>
        </is>
      </c>
      <c r="G295" s="42" t="inlineStr">
        <is>
          <t>直直重複練功夫，是學真本領的必經過程。愛學會曉體會其中的甘苦佮趣味，一擺閣一擺、一磚一瓦，共根基扎予在。</t>
        </is>
      </c>
      <c r="H295" s="43" t="inlineStr"/>
      <c r="I295" s="39" t="inlineStr"/>
      <c r="J295" s="44" t="inlineStr"/>
      <c r="K295" s="45" t="inlineStr"/>
    </row>
    <row r="296" ht="24" customHeight="1">
      <c r="A296" s="26" t="inlineStr">
        <is>
          <t>Slide 6</t>
        </is>
      </c>
      <c r="B296" s="27" t="inlineStr">
        <is>
          <t>No. 294</t>
        </is>
      </c>
      <c r="C296" s="28" t="inlineStr">
        <is>
          <t>原則 9</t>
        </is>
      </c>
      <c r="D296" s="29" t="inlineStr">
        <is>
          <t>Go running/jogging, reading but not complaining or criticizing.</t>
        </is>
      </c>
      <c r="E296" s="30" t="inlineStr">
        <is>
          <t>Spend your energy running, jogging, or reading, rather than wasting it on complaining or criticizing.</t>
        </is>
      </c>
      <c r="F296" s="31" t="inlineStr">
        <is>
          <t>把精力投入在慢跑、閱讀等建設性活動上，而不是浪費在無謂的抱怨與批評上。</t>
        </is>
      </c>
      <c r="G296" s="32" t="inlineStr">
        <is>
          <t>共精氣神囥佇走標運動、讀冊充實家己，毋通共時間氣力浪費佇無謂的開喙怨嘆佮批評別人。</t>
        </is>
      </c>
      <c r="H296" s="33" t="inlineStr"/>
      <c r="I296" s="29" t="inlineStr"/>
      <c r="J296" s="34" t="inlineStr"/>
      <c r="K296" s="35" t="inlineStr"/>
    </row>
    <row r="297" ht="24" customHeight="1">
      <c r="A297" s="36" t="inlineStr">
        <is>
          <t>Slide 6</t>
        </is>
      </c>
      <c r="B297" s="37" t="inlineStr">
        <is>
          <t>No. 295</t>
        </is>
      </c>
      <c r="C297" s="38" t="inlineStr">
        <is>
          <t>原則 6, 原則 12</t>
        </is>
      </c>
      <c r="D297" s="39" t="inlineStr">
        <is>
          <t>You cannot survive well without principles and rules. Or make it effectively.</t>
        </is>
      </c>
      <c r="E297" s="40" t="inlineStr">
        <is>
          <t>Without clear personal principles and operating rules, you cannot survive or thrive effectively in a complex environment.</t>
        </is>
      </c>
      <c r="F297" s="41" t="inlineStr">
        <is>
          <t>在複雜環境中，如果沒有建立清晰的個人原則與行動守則，你將難以安身立命、高效生存。</t>
        </is>
      </c>
      <c r="G297" s="42" t="inlineStr">
        <is>
          <t>佇冗雜的環境當中，若無立好嚴明的原則佮做人規矩，你無法度徛穩跤步、好好生存，亦無法度做出大器成果。</t>
        </is>
      </c>
      <c r="H297" s="43" t="inlineStr"/>
      <c r="I297" s="39" t="inlineStr"/>
      <c r="J297" s="44" t="inlineStr"/>
      <c r="K297" s="45" t="inlineStr"/>
    </row>
    <row r="298" ht="24" customHeight="1">
      <c r="A298" s="26" t="inlineStr">
        <is>
          <t>Slide 6</t>
        </is>
      </c>
      <c r="B298" s="27" t="inlineStr">
        <is>
          <t>No. 296</t>
        </is>
      </c>
      <c r="C298" s="28" t="inlineStr">
        <is>
          <t>原則 18</t>
        </is>
      </c>
      <c r="D298" s="29" t="inlineStr">
        <is>
          <t>Adapted to unknown. Changing is always. Remember momentro mori.</t>
        </is>
      </c>
      <c r="E298" s="30" t="inlineStr">
        <is>
          <t>Adapt to the unknown; change is the only constant. Keep memento mori in mind.</t>
        </is>
      </c>
      <c r="F298" s="31" t="inlineStr">
        <is>
          <t>適應未知，變化是唯一的常態。時刻謹記「切記人終將一死（Memento Mori）」，保持謙卑與務實。</t>
        </is>
      </c>
      <c r="G298" s="32" t="inlineStr">
        <is>
          <t>著愛習慣未知，世事變化是永遠的常態。心頭愛時時謹記「人終其尾攏有一死（Memento Mori）」，常存謙卑、務實行路。</t>
        </is>
      </c>
      <c r="H298" s="33" t="inlineStr"/>
      <c r="I298" s="29" t="inlineStr"/>
      <c r="J298" s="34" t="inlineStr"/>
      <c r="K298" s="35" t="inlineStr"/>
    </row>
    <row r="299" ht="24" customHeight="1">
      <c r="A299" s="36" t="inlineStr">
        <is>
          <t>Slide 6</t>
        </is>
      </c>
      <c r="B299" s="37" t="inlineStr">
        <is>
          <t>No. 297</t>
        </is>
      </c>
      <c r="C299" s="38" t="inlineStr">
        <is>
          <t>原則 6</t>
        </is>
      </c>
      <c r="D299" s="39" t="inlineStr">
        <is>
          <t>Premeditatio malorum : 意思是：對邪惡的事先冥思。Item 50,125,136.意象 But not to overthink vs black swan. post-mortem, 預先驗屍。</t>
        </is>
      </c>
      <c r="E299" s="40" t="inlineStr">
        <is>
          <t>Practice 'Premeditatio Malorum' (pre-meditation of evils / pre-mortem): mentally rehearse worst-case scenarios to stress-test your plans. Balance it to avoid overthinking black swans. (Related to Items 50, 125, and 136)</t>
        </is>
      </c>
      <c r="F299" s="41" t="inlineStr">
        <is>
          <t>實踐「對邪惡的事先冥思」（Premeditatio Malorum，即預前驗屍/Pre-mortem）：在腦中模擬並預防最壞情境。但要克制，避免因過度思考黑天鵝事件而導致焦慮。（對照第50、125、136條）</t>
        </is>
      </c>
      <c r="G299" s="42" t="inlineStr">
        <is>
          <t>落實「對歹事提早思量演練」（即事前先驗屍／Pre-mortem）：佇腦海中先搬演、預防上歹的局面。毋過愛知節制，莫因為過度操煩烏天鵝變故，顛倒變做焦慮。（對照第50、125、136條）</t>
        </is>
      </c>
      <c r="H299" s="43" t="inlineStr"/>
      <c r="I299" s="39" t="inlineStr"/>
      <c r="J299" s="44" t="inlineStr"/>
      <c r="K299" s="45" t="inlineStr"/>
    </row>
    <row r="300" ht="24" customHeight="1">
      <c r="A300" s="26" t="inlineStr">
        <is>
          <t>Slide 6</t>
        </is>
      </c>
      <c r="B300" s="27" t="inlineStr">
        <is>
          <t>No. 298</t>
        </is>
      </c>
      <c r="C300" s="28" t="inlineStr">
        <is>
          <t>原則 9, 原則 14</t>
        </is>
      </c>
      <c r="D300" s="29" t="inlineStr">
        <is>
          <t>Keeping silence, more humor and laugh.</t>
        </is>
      </c>
      <c r="E300" s="30" t="inlineStr">
        <is>
          <t>Keep silent when appropriate, and bring more humor and laughter to your daily interactions.</t>
        </is>
      </c>
      <c r="F300" s="31" t="inlineStr">
        <is>
          <t>保持適度的靜默，多用幽默感與笑容化解職場的緊繃感。</t>
        </is>
      </c>
      <c r="G300" s="32" t="inlineStr">
        <is>
          <t>會曉適時恬靜莫加講話，加用幽默感佮笑容，來化解職場頂緊繃的氣氛。</t>
        </is>
      </c>
      <c r="H300" s="33" t="inlineStr"/>
      <c r="I300" s="29" t="inlineStr"/>
      <c r="J300" s="34" t="inlineStr"/>
      <c r="K300" s="35" t="inlineStr"/>
    </row>
    <row r="301" ht="24" customHeight="1">
      <c r="A301" s="36" t="inlineStr">
        <is>
          <t>Slide 6</t>
        </is>
      </c>
      <c r="B301" s="37" t="inlineStr">
        <is>
          <t>No. 299</t>
        </is>
      </c>
      <c r="C301" s="38" t="inlineStr">
        <is>
          <t>原則 11, 原則 14</t>
        </is>
      </c>
      <c r="D301" s="39" t="inlineStr">
        <is>
          <t>Your position or skillset is not in that level and not fit this task? If not, good to keep silence. How to grow? Make it as a project. Self –study.</t>
        </is>
      </c>
      <c r="E301" s="40" t="inlineStr">
        <is>
          <t>If your current position or skillset isn't at the required level for a task, it's best to keep silent. To grow, treat it as a personal project and pursue self-study.</t>
        </is>
      </c>
      <c r="F301" s="41" t="inlineStr">
        <is>
          <t>若自身的職位或專業能力尚未達到該任務的要求，保持沉默是明智的。若想突破成長，不妨將其視為一項個人專案，進行自主學習與鑽研。</t>
        </is>
      </c>
      <c r="G301" s="42" t="inlineStr">
        <is>
          <t>若家己的職位抑是本事猶未夠額、無合這項任務的門檻，上好先恬恬看、恬恬聽。按怎才會長進？共伊當作個人的修煉專案，落功夫家己苦讀鑽研。</t>
        </is>
      </c>
      <c r="H301" s="43" t="inlineStr"/>
      <c r="I301" s="39" t="inlineStr"/>
      <c r="J301" s="44" t="inlineStr"/>
      <c r="K301" s="45" t="inlineStr"/>
    </row>
    <row r="302" ht="24" customHeight="1">
      <c r="A302" s="26" t="inlineStr">
        <is>
          <t>Slide 6</t>
        </is>
      </c>
      <c r="B302" s="27" t="inlineStr">
        <is>
          <t>No. 300</t>
        </is>
      </c>
      <c r="C302" s="28" t="inlineStr">
        <is>
          <t>原則 6, 原則 12</t>
        </is>
      </c>
      <c r="D302" s="29" t="inlineStr">
        <is>
          <t>Fallacy: confirmation bias, survivor bias, Negativity bias, short term mindset. Tunnel vision. M̄-thang tòng lâng ê KPI.</t>
        </is>
      </c>
      <c r="E302" s="30" t="inlineStr">
        <is>
          <t>Beware of cognitive fallacies: confirmation bias, survivor bias, negativity bias, short-term mindset, and tunnel vision. Never block or damage others' KPIs (台語/Mandarin: M̄-thang tàng lâng ê KPI).</t>
        </is>
      </c>
      <c r="F302" s="31" t="inlineStr">
        <is>
          <t>提防各類認知謬誤：確認偏誤、倖存者偏差、消極偏誤、短期思維與隧道視野。切記，千萬不要擋到別人的 KPI（台語漢字：毋通擋人的 KPI）。</t>
        </is>
      </c>
      <c r="G302" s="32" t="inlineStr">
        <is>
          <t>細膩種種心念的偏見謬誤：確認偏誤、倖存者偏差、消極偏見、短視思維佮井底看天的狹隘眼光。上要緊的是記牢牢：千萬毋通擋著別人的 KPI（台文：毋通擋人的 KPI）。</t>
        </is>
      </c>
      <c r="H302" s="33" t="inlineStr"/>
      <c r="I302" s="29" t="inlineStr"/>
      <c r="J302" s="34" t="inlineStr"/>
      <c r="K302" s="35" t="inlineStr"/>
    </row>
    <row r="303" ht="24" customHeight="1">
      <c r="A303" s="36" t="inlineStr">
        <is>
          <t>Slide 7</t>
        </is>
      </c>
      <c r="B303" s="37" t="inlineStr">
        <is>
          <t>No. 301</t>
        </is>
      </c>
      <c r="C303" s="38" t="inlineStr">
        <is>
          <t>原則 6, 原則 10</t>
        </is>
      </c>
      <c r="D303" s="39" t="inlineStr">
        <is>
          <t>Leader host statement: ( for meeting) I repeat what we agreed upon during the meeting I repeat what you said, make sure my understanding is correct. Allow me confirm. I got a lot of help from the team. Thank for all your dedicated hard work. When will be the next discussion and what is agenda. What is the goal that should be achieved in the end? Can you make it on time or before that day ( time)? Ask why should we do this? PAR, purpose, action, Result. ORID. My skillset is not enough for this discussion or assignment. It is not my position to discuss that. ( kind of saying no) Challenge what you haven’t done in the past. One marathon, one new speech, one new book. Longer trail, different path. Broaden your view.</t>
        </is>
      </c>
      <c r="E303" s="40" t="inlineStr">
        <is>
          <t>Meeting Leader Statements &amp; Strategies: Reiterate key agreements and confirm understandings ('Let me confirm: I will repeat what you said to make sure I got it right'). Express gratitude to the team ('I received immense help from everyone; thank you for your dedicated hard work'). Clarify follow-ups ('When is our next discussion, and what is the agenda? What is the final goal? Can you complete it on or before the deadline?'). Probe intent using frameworks like PAR (Purpose, Action, Result) or ORID ('Why are we doing this?'). Know how to tactfully decline ('My current skillset isn't suited for this topic, nor is it within my role to address this'). Continually challenge yourself with unfamiliar experiences—such as running a marathon, giving a new presentation, or reading a new book—to broaden your horizon.</t>
        </is>
      </c>
      <c r="F303" s="41" t="inlineStr">
        <is>
          <t>會議主持人關鍵用語與心法：明確確認共識（「讓我複述您所說的，確認我的理解是否正確」）；誠摯感謝團隊（「感謝團隊的全力協助與辛苦付出」）；釐清後續作為與時程（「下次討論的時間、議程與最終目標為何？能否在期限前完成？」）；運用 PAR （目的/行動/結果） 或 ORID 思考架構詢問根本原因；學會委婉拒絕（「這非我專業範疇或職責所在」）；並持續挑戰未曾嘗試的新事（如馬拉松、新演講、新書讀後感），拓展自身視野。</t>
        </is>
      </c>
      <c r="G303" s="42" t="inlineStr">
        <is>
          <t>主持會議的鋩角佮心法：定著共識（「我共你講的閣講一擺，看敢有理解差誤」）；誠心多謝團隊（「真勞力逐家鬥相共佮辛苦付出」）；問清後步佮期程（「後回啥物時陣欲開會？議程佮上尾目標是啥物？敢有法度照期抑是提早做好？」）；用 PAR 抑是 ORID 骨架問出頭緒；遇著無合的工課愛會曉委婉推辭（「這毋是我的手路，亦毋是我的權責」）；平時愛敢挑戰無做過的代誌（親像走馬拉松、做新演講、讀新冊），展闊家己的眼界。</t>
        </is>
      </c>
      <c r="H303" s="43" t="inlineStr"/>
      <c r="I303" s="39" t="inlineStr"/>
      <c r="J303" s="44" t="inlineStr"/>
      <c r="K303" s="45" t="inlineStr"/>
    </row>
    <row r="304" ht="24" customHeight="1">
      <c r="A304" s="26" t="inlineStr">
        <is>
          <t>Slide 7</t>
        </is>
      </c>
      <c r="B304" s="27" t="inlineStr">
        <is>
          <t>No. 302</t>
        </is>
      </c>
      <c r="C304" s="28" t="inlineStr">
        <is>
          <t>原則 15, 原則 17</t>
        </is>
      </c>
      <c r="D304" s="29" t="inlineStr">
        <is>
          <t>watch out economic environment and industrial trend. your salary is the top priority for your retire plan. Good to ask promotion if you did a great job and boss recognize you. if not, you may consider not to do. Good to track yearly salary increment is more than market inflation (3%) so Purchasing power parity won't be degraded. in the end, do rebalance on your asset allocation and keep going without worrying market too much. Saving rate.</t>
        </is>
      </c>
      <c r="E304" s="30" t="inlineStr">
        <is>
          <t>Pay close attention to economic conditions and industry trends. Your earned income is the bedrock of your retirement plan. If your performance is exceptional and recognized by management, proactively request a promotion; otherwise, hold off. Ensure your annual salary increase outpaces inflation (e.g., 3%) to maintain your purchasing power. Finally, rebalance your asset portfolio regularly, maintain a strong savings rate, and execute your strategy steadily without being swayed by market volatility.</t>
        </is>
      </c>
      <c r="F304" s="31" t="inlineStr">
        <is>
          <t>時刻關注宏觀經濟與產業趨勢。薪資收入是退休規劃的首要基石；若表現優異且獲主管認可，應積極爭取升遷加薪，否則不宜草率提及。務必確保年度調薪高於市場通膨率（約3%），以防購買力遭侵蝕。同時，落實資產配置與定期再平衡，維持高儲蓄率，心無旁騖地穩健前行。</t>
        </is>
      </c>
      <c r="G304" s="32" t="inlineStr">
        <is>
          <t>時常照看大局勢佮產業脈動。薪水工錢是退休規劃上要緊的底蒂；若做甲有聲有影閣受頭家肯定，就大方爭取升遷加薪，無就先踏穩跤步莫草率提起。逐年加薪愛贏過通貨膨脹（3%以上），買物件的購買力才袂縮水。閣愛定時盤撨資產配置、顧牢儲蓄率，毋免傷操煩市場風浪，踏實穩穩仔行就好。</t>
        </is>
      </c>
      <c r="H304" s="33" t="inlineStr"/>
      <c r="I304" s="29" t="inlineStr"/>
      <c r="J304" s="34" t="inlineStr"/>
      <c r="K304" s="35" t="inlineStr"/>
    </row>
    <row r="305" ht="24" customHeight="1">
      <c r="A305" s="36" t="inlineStr">
        <is>
          <t>Slide 7</t>
        </is>
      </c>
      <c r="B305" s="37" t="inlineStr">
        <is>
          <t>No. 303</t>
        </is>
      </c>
      <c r="C305" s="38" t="inlineStr">
        <is>
          <t>原則 15, 原則 17</t>
        </is>
      </c>
      <c r="D305" s="39" t="inlineStr">
        <is>
          <t>Understand welfare policy, any compensation, food allowance, leave ( depends on rank, 14-22 days), baby / children,..LTIP.AIP, RSU, ESPP, health check, scholarship..., how to apply and earn. business traveler, training...you also need this when you apply next job or before leaving current position. It is part of financial management. Flexibility WFH. (max. day per year?20days)</t>
        </is>
      </c>
      <c r="E305" s="40" t="inlineStr">
        <is>
          <t>Fully understand company benefits and welfare policies: food allowances, leave allowances (14–22 days depending on rank), childcare benefits, LTIP, AIP bonuses, RSU vesting, ESPP, health screenings, and business travel policies. Know how to apply and qualify for these. This knowledge is key for financial management and serves as a benchmark when evaluating new job offers.</t>
        </is>
      </c>
      <c r="F305" s="41" t="inlineStr">
        <is>
          <t>徹底搞懂公司的各項福利與補償政策：伙食津貼、年假（依職級約 14-22 天）、育兒津貼、長期激勵計畫（LTIP）、年度激勵金（AIP）、RSU 股票、ESPP 員工認股、健檢與差旅補助等。掌握申請管道與資格，這不僅是財務管理的一環，也是日後跳槽或離職談判的重要基準。了解在家工作（WFH）的彈性額度（如每年最多20天）。</t>
        </is>
      </c>
      <c r="G305" s="42" t="inlineStr">
        <is>
          <t>會社的各項福利佮津貼規矩愛摸甲透澈：伙食補貼、特別休假（照職級差不多14到22工）、育兒津貼、LTIP 長期獎勵、AIP 年度分紅、RSU 股份、ESPP 員工認股、健檢佮出差補助等等。愛通曉申請路關佮資格，這毋但是理財的一環，閣是將來跳槽抑是辭職盤撨身價的憑據。嘛愛摸熟佇厝辦公（WFH）的額度（親像逐年上濟20工）。</t>
        </is>
      </c>
      <c r="H305" s="43" t="inlineStr"/>
      <c r="I305" s="39" t="inlineStr"/>
      <c r="J305" s="44" t="inlineStr"/>
      <c r="K305" s="45" t="inlineStr"/>
    </row>
    <row r="306" ht="24" customHeight="1">
      <c r="A306" s="26" t="inlineStr">
        <is>
          <t>Slide 7</t>
        </is>
      </c>
      <c r="B306" s="27" t="inlineStr">
        <is>
          <t>No. 304</t>
        </is>
      </c>
      <c r="C306" s="28" t="inlineStr">
        <is>
          <t>原則 10</t>
        </is>
      </c>
      <c r="D306" s="29" t="inlineStr">
        <is>
          <t>Try to train yourself to look into someone's eyes. Or certain point on their face.</t>
        </is>
      </c>
      <c r="E306" s="30" t="inlineStr">
        <is>
          <t>Train yourself to make eye contact when speaking to others, or focus on a specific point on their face to communicate confidence. (Related to Item 207)</t>
        </is>
      </c>
      <c r="F306" s="31" t="inlineStr">
        <is>
          <t>訓練自己說話時看著對方的眼睛，或注視對方臉部特定位置（如兩眼中間）以傳遞自信。</t>
        </is>
      </c>
      <c r="G306" s="32" t="inlineStr">
        <is>
          <t>鍛鍊家己講話的時陣，目睭愛金金看對方，抑是注神看對方雙眉中央，按呢才會顯出自信佮穩重。</t>
        </is>
      </c>
      <c r="H306" s="33" t="inlineStr"/>
      <c r="I306" s="29" t="inlineStr"/>
      <c r="J306" s="34" t="inlineStr"/>
      <c r="K306" s="35" t="inlineStr"/>
    </row>
    <row r="307" ht="24" customHeight="1">
      <c r="A307" s="36" t="inlineStr">
        <is>
          <t>Slide 7</t>
        </is>
      </c>
      <c r="B307" s="37" t="inlineStr">
        <is>
          <t>No. 305</t>
        </is>
      </c>
      <c r="C307" s="38" t="inlineStr">
        <is>
          <t>原則 18</t>
        </is>
      </c>
      <c r="D307" s="39" t="inlineStr">
        <is>
          <t>when you feel frustrated and disappointed, be patient, take a deep breath, you did a good job and don't burn out yourself, control what you can control and let the things what you cannot control go. life is not fair, that is true, but still, you need to move on and grow up for yourself, not for your company or your colleagues. Indeed, life is struggling, and you need earn moneys for kids and families, also for your ideal. You have no time to think better and find a better way to survey. You know what? no one knows how until the time is arrived. as a result, think positive, I knew it is hard, but you need to try. Live a better version of you and you will thank yourself after many years later.</t>
        </is>
      </c>
      <c r="E307" s="40" t="inlineStr">
        <is>
          <t>When frustrated or disappointed, be patient and take a deep breath. Remind yourself that you did a good job; avoid burnout. Focus strictly on what you can control and let the rest go. Life is not fair, but you must keep moving forward and growing—for yourself, not for the company or colleagues. Life is a struggle to support family and pursue ideals, but stay positive and take it one day at a time. The future you will thank you for trying.</t>
        </is>
      </c>
      <c r="F307" s="41" t="inlineStr">
        <is>
          <t>感到沮喪和失望時，保持耐心，深呼吸。告訴自己你已經做得很好了，別讓自己燃燒殆盡。專注於你能控制的事，放手那些你無法控制的事。生活確實不公平，但你仍須前行，為了自己（而非公司或同事）持續成長。生活固然辛苦，需要養家糊口並兼顧理想，但請保持積極心態。很多事情在時機成熟前是沒有答案的；努力活出更好的自己，多年後你會深深感謝現在的自己。</t>
        </is>
      </c>
      <c r="G307" s="42" t="inlineStr">
        <is>
          <t>心情失落、嚥氣的時陣，著愛有耐性、深吐大氣。共家己拍氣講你已經做真好矣，莫共身軀操甲無元氣。顧好家己管會著的代誌，管袂著的就放予去。世間無公平是事實，毋過你猶原愛繼續行，是為著家己（毋是為著會社抑是同事）來成長長進。過日子本底就艱苦，愛趁錢養家顧囝兒，嘛想欲圓夢。真濟代誌時到時擔當、時機未到是無答案的。心頭轉向正面，這步真忝無毋著，毋過愛拚看覓；好好活出閣較成樣的家己，幾若年後你會萬分感謝這馬的家己。</t>
        </is>
      </c>
      <c r="H307" s="43" t="inlineStr"/>
      <c r="I307" s="39" t="inlineStr"/>
      <c r="J307" s="44" t="inlineStr"/>
      <c r="K307" s="45" t="inlineStr"/>
    </row>
    <row r="308" ht="24" customHeight="1">
      <c r="A308" s="26" t="inlineStr">
        <is>
          <t>Slide 7</t>
        </is>
      </c>
      <c r="B308" s="27" t="inlineStr">
        <is>
          <t>No. 306</t>
        </is>
      </c>
      <c r="C308" s="28" t="inlineStr">
        <is>
          <t>原則 7, 原則 8</t>
        </is>
      </c>
      <c r="D308" s="29" t="inlineStr">
        <is>
          <t>What do you want to achieve?</t>
        </is>
      </c>
      <c r="E308" s="30" t="inlineStr">
        <is>
          <t>Clearly define your core objectives: What is it that you truly want to achieve?</t>
        </is>
      </c>
      <c r="F308" s="31" t="inlineStr">
        <is>
          <t>明確界定你的核心目標：你真正想要達成的是什麼？</t>
        </is>
      </c>
      <c r="G308" s="32" t="inlineStr">
        <is>
          <t>先認明心頭的核心目標：你這世人到底想欲做出啥物名堂？</t>
        </is>
      </c>
      <c r="H308" s="33" t="inlineStr"/>
      <c r="I308" s="29" t="inlineStr"/>
      <c r="J308" s="34" t="inlineStr"/>
      <c r="K308" s="35" t="inlineStr"/>
    </row>
    <row r="309" ht="24" customHeight="1">
      <c r="A309" s="36" t="inlineStr">
        <is>
          <t>Slide 7</t>
        </is>
      </c>
      <c r="B309" s="37" t="inlineStr">
        <is>
          <t>No. 307</t>
        </is>
      </c>
      <c r="C309" s="38" t="inlineStr">
        <is>
          <t>原則 1, 原則 8</t>
        </is>
      </c>
      <c r="D309" s="39" t="inlineStr">
        <is>
          <t>Do you spend time on it/them? What is the result / achievement? What you want to achieve. ITEM306. Result-oriented.</t>
        </is>
      </c>
      <c r="E309" s="40" t="inlineStr">
        <is>
          <t>Are you dedicating enough time to your core goals? Focus on outcomes and measure your achievements periodically. (Related to Item 306)</t>
        </is>
      </c>
      <c r="F309" s="41" t="inlineStr">
        <is>
          <t>你是否把時間花在你的核心目標上？堅持結果導向，定期檢視產出與成就。</t>
        </is>
      </c>
      <c r="G309" s="42" t="inlineStr">
        <is>
          <t>敢有共寶貴的時間用佇最要緊的核心目標？愛看成果來講話，定定檢視家己做出啥物成績佮收成。（對照第306條）</t>
        </is>
      </c>
      <c r="H309" s="43" t="inlineStr"/>
      <c r="I309" s="39" t="inlineStr"/>
      <c r="J309" s="44" t="inlineStr"/>
      <c r="K309" s="45" t="inlineStr"/>
    </row>
    <row r="310" ht="24" customHeight="1">
      <c r="A310" s="26" t="inlineStr">
        <is>
          <t>Slide 7</t>
        </is>
      </c>
      <c r="B310" s="27" t="inlineStr">
        <is>
          <t>No. 308</t>
        </is>
      </c>
      <c r="C310" s="28" t="inlineStr">
        <is>
          <t>原則 1, 原則 8</t>
        </is>
      </c>
      <c r="D310" s="29" t="inlineStr">
        <is>
          <t>What are you doing right now? is it aligned with the goal you want to achieve? Daily questions.</t>
        </is>
      </c>
      <c r="E310" s="30" t="inlineStr">
        <is>
          <t>Ask yourself daily: "What am I doing right now, and is it aligned with my long-term goals?"</t>
        </is>
      </c>
      <c r="F310" s="31" t="inlineStr">
        <is>
          <t>每天自我詰問：「我現在正在做的事，是否與我想要達成的終極目標一致？」</t>
        </is>
      </c>
      <c r="G310" s="32" t="inlineStr">
        <is>
          <t>逐日自問自省：「我這馬手頭咧創的工課，敢有合著我心目中的大目標？」</t>
        </is>
      </c>
      <c r="H310" s="33" t="inlineStr"/>
      <c r="I310" s="29" t="inlineStr"/>
      <c r="J310" s="34" t="inlineStr"/>
      <c r="K310" s="35" t="inlineStr"/>
    </row>
    <row r="311" ht="24" customHeight="1">
      <c r="A311" s="36" t="inlineStr">
        <is>
          <t>Slide 7</t>
        </is>
      </c>
      <c r="B311" s="37" t="inlineStr">
        <is>
          <t>No. 309</t>
        </is>
      </c>
      <c r="C311" s="38" t="inlineStr">
        <is>
          <t>原則 9</t>
        </is>
      </c>
      <c r="D311" s="39" t="inlineStr">
        <is>
          <t>“I’m glad you brought it up. Is there anything to be covered? “</t>
        </is>
      </c>
      <c r="E311" s="40" t="inlineStr">
        <is>
          <t>Use open, welcoming phrases in meetings, such as: "I am glad you brought that up. Is there anything else we need to cover?"</t>
        </is>
      </c>
      <c r="F311" s="41" t="inlineStr">
        <is>
          <t>開會時使用引導性話術：「很高興你提出這個問題。還有其他我們需要討論的細節嗎？」</t>
        </is>
      </c>
      <c r="G311" s="42" t="inlineStr">
        <is>
          <t>開會會曉用好言引導：「真歡喜你提出這項要緊代誌。敢猶有啥物細節是咱愛閣參詳討論的無？」</t>
        </is>
      </c>
      <c r="H311" s="43" t="inlineStr"/>
      <c r="I311" s="39" t="inlineStr"/>
      <c r="J311" s="44" t="inlineStr"/>
      <c r="K311" s="45" t="inlineStr"/>
    </row>
    <row r="312" ht="24" customHeight="1">
      <c r="A312" s="26" t="inlineStr">
        <is>
          <t>Slide 7</t>
        </is>
      </c>
      <c r="B312" s="27" t="inlineStr">
        <is>
          <t>No. 310</t>
        </is>
      </c>
      <c r="C312" s="28" t="inlineStr">
        <is>
          <t>原則 19</t>
        </is>
      </c>
      <c r="D312" s="29" t="inlineStr">
        <is>
          <t>If you find your sleep less than 6 hours, watch out you may speak something wrong or doing something wrong. You may lose your judgement. Energy management.</t>
        </is>
      </c>
      <c r="E312" s="30" t="inlineStr">
        <is>
          <t>If you sleep less than 6 hours, be cautious: sleep deprivation severely impairs judgment, making you prone to verbal slips or mistakes. Prioritize sleep as part of energy management.</t>
        </is>
      </c>
      <c r="F312" s="31" t="inlineStr">
        <is>
          <t>如果睡眠時間少於 6 小時，務必提高警覺：睡眠不足會嚴重損害判斷力，極易在工作中出錯或說錯話。將睡眠視為能量管理的最優先級。</t>
        </is>
      </c>
      <c r="G312" s="32" t="inlineStr">
        <is>
          <t>睏眠若無夠六點鐘，著愛特別細膩：睏無飽真傷精神佮判斷力，上容易佇工課頂出差錯抑是講毋著話。愛共睏予飽當作元氣管理的第一要緊代誌。</t>
        </is>
      </c>
      <c r="H312" s="33" t="inlineStr"/>
      <c r="I312" s="29" t="inlineStr"/>
      <c r="J312" s="34" t="inlineStr"/>
      <c r="K312" s="35" t="inlineStr"/>
    </row>
    <row r="313" ht="24" customHeight="1">
      <c r="A313" s="36" t="inlineStr">
        <is>
          <t>Slide 7</t>
        </is>
      </c>
      <c r="B313" s="37" t="inlineStr">
        <is>
          <t>No. 311</t>
        </is>
      </c>
      <c r="C313" s="38" t="inlineStr">
        <is>
          <t>原則 2, 原則 12</t>
        </is>
      </c>
      <c r="D313" s="39" t="inlineStr">
        <is>
          <t>Using bcc, send “ FYI” email, just in case someone ask odd questions to all, and you need to reply.</t>
        </is>
      </c>
      <c r="E313" s="40" t="inlineStr">
        <is>
          <t>Use BCC (Blind Carbon Copy) strategically when sending "FYI" emails to keep stakeholders informed without exposing them to unnecessary "Reply All" threads or odd questions.</t>
        </is>
      </c>
      <c r="F313" s="41" t="inlineStr">
        <is>
          <t>寄送「FYI 僅供參考」郵件時，巧妙使用密件副本（BCC），既能讓利害關係人知情，又不會讓他們被捲入往後無謂的「回覆所有人」信件轟炸中。</t>
        </is>
      </c>
      <c r="G313" s="42" t="inlineStr">
        <is>
          <t>寄「FYI 予你知影」的電子批時陣，愛會曉巧用「密件副本（BCC）」，予關係人心中有數就好，免得怹無端端捲入去後續「回覆逐家」的冗雜批信當中。</t>
        </is>
      </c>
      <c r="H313" s="43" t="inlineStr"/>
      <c r="I313" s="39" t="inlineStr"/>
      <c r="J313" s="44" t="inlineStr"/>
      <c r="K313" s="45" t="inlineStr"/>
    </row>
    <row r="314" ht="24" customHeight="1">
      <c r="A314" s="26" t="inlineStr">
        <is>
          <t>Slide 7</t>
        </is>
      </c>
      <c r="B314" s="27" t="inlineStr">
        <is>
          <t>No. 312</t>
        </is>
      </c>
      <c r="C314" s="28" t="inlineStr">
        <is>
          <t>原則 14, 原則 15</t>
        </is>
      </c>
      <c r="D314" s="29" t="inlineStr">
        <is>
          <t>Do the right thing vs do the things boss thinks it is right.</t>
        </is>
      </c>
      <c r="E314" s="30" t="inlineStr">
        <is>
          <t>Learn to balance "doing the right thing" (objective value) versus "doing what your manager perceives as right" (alignment).</t>
        </is>
      </c>
      <c r="F314" s="31" t="inlineStr">
        <is>
          <t>學會權衡「做正確的事（客觀價值）」與「做老闆認為正確的事（觀念對齊）」。</t>
        </is>
      </c>
      <c r="G314" s="32" t="inlineStr">
        <is>
          <t>愛通曉撙節「做公認著的代誌（客觀價值）」佮「做頭家看做是著的代誌（對齊心意）」兩者之間的平衡。</t>
        </is>
      </c>
      <c r="H314" s="33" t="inlineStr"/>
      <c r="I314" s="29" t="inlineStr"/>
      <c r="J314" s="34" t="inlineStr"/>
      <c r="K314" s="35" t="inlineStr"/>
    </row>
    <row r="315" ht="24" customHeight="1">
      <c r="A315" s="36" t="inlineStr">
        <is>
          <t>Slide 7</t>
        </is>
      </c>
      <c r="B315" s="37" t="inlineStr">
        <is>
          <t>No. 313</t>
        </is>
      </c>
      <c r="C315" s="38" t="inlineStr">
        <is>
          <t>原則 3, 原則 8</t>
        </is>
      </c>
      <c r="D315" s="39" t="inlineStr">
        <is>
          <t>Too busy to think how to do better and find a better solution/way. ( be careful with the trap.)</t>
        </is>
      </c>
      <c r="E315" s="40" t="inlineStr">
        <is>
          <t>Beware of the busyness trap—being too busy executing to think about how to optimize or find a better solution.</t>
        </is>
      </c>
      <c r="F315" s="41" t="inlineStr">
        <is>
          <t>警惕「忙碌陷阱」：不要因為忙於應付眼前工作，而抽不出時間思考如何優化流程或尋找更好的解決方案。</t>
        </is>
      </c>
      <c r="G315" s="42" t="inlineStr">
        <is>
          <t>莫踏入「盲目無閒」的陷阱：毋通逐日顧咧應付目睭前的工課，煞無撥時間想看覓按怎改善步數、揣出閣較順序的解法。</t>
        </is>
      </c>
      <c r="H315" s="43" t="inlineStr"/>
      <c r="I315" s="39" t="inlineStr"/>
      <c r="J315" s="44" t="inlineStr"/>
      <c r="K315" s="45" t="inlineStr"/>
    </row>
    <row r="316" ht="24" customHeight="1">
      <c r="A316" s="26" t="inlineStr">
        <is>
          <t>Slide 7</t>
        </is>
      </c>
      <c r="B316" s="27" t="inlineStr">
        <is>
          <t>No. 314</t>
        </is>
      </c>
      <c r="C316" s="28" t="inlineStr">
        <is>
          <t>原則 7, 原則 8</t>
        </is>
      </c>
      <c r="D316" s="29" t="inlineStr">
        <is>
          <t>After grabbing low hanging fruit, what is the next?</t>
        </is>
      </c>
      <c r="E316" s="30" t="inlineStr">
        <is>
          <t>Once you have harvested the "low-hanging fruit" (easy wins), plan ahead for the next high-value, complex challenges.</t>
        </is>
      </c>
      <c r="F316" s="31" t="inlineStr">
        <is>
          <t>在收割完「低垂的果實」（簡單且易見效的事務）之後，提早規劃下一步高價值的攻堅任務。</t>
        </is>
      </c>
      <c r="G316" s="32" t="inlineStr">
        <is>
          <t>「較好挽的果子」（簡單好做的工課）挽了後，下一步欲按怎行？愛提早規劃難度較懸、閣較有價值的重頭工課。</t>
        </is>
      </c>
      <c r="H316" s="33" t="inlineStr"/>
      <c r="I316" s="29" t="inlineStr"/>
      <c r="J316" s="34" t="inlineStr"/>
      <c r="K316" s="35" t="inlineStr"/>
    </row>
    <row r="317" ht="24" customHeight="1">
      <c r="A317" s="36" t="inlineStr">
        <is>
          <t>Slide 7</t>
        </is>
      </c>
      <c r="B317" s="37" t="inlineStr">
        <is>
          <t>No. 315</t>
        </is>
      </c>
      <c r="C317" s="38" t="inlineStr">
        <is>
          <t>原則 6</t>
        </is>
      </c>
      <c r="D317" s="39" t="inlineStr">
        <is>
          <t>Face the uncertainty and ambiguity. ( VUCA, volatility, complexity)</t>
        </is>
      </c>
      <c r="E317" s="40" t="inlineStr">
        <is>
          <t>Build the mental capacity to face uncertainty and ambiguity in a complex, fast-changing environment (VUCA).</t>
        </is>
      </c>
      <c r="F317" s="41" t="inlineStr">
        <is>
          <t>培養面對不確定性與模糊空間的心智能力，以適應快速變遷的複雜職場環境。</t>
        </is>
      </c>
      <c r="G317" s="42" t="inlineStr">
        <is>
          <t>練好心神，心頭掠予定，坦然面對環境的變化無常佮曖昧不明（VUCA），按呢才有法度佇千變萬化的職場徛予在。</t>
        </is>
      </c>
      <c r="H317" s="43" t="inlineStr"/>
      <c r="I317" s="39" t="inlineStr"/>
      <c r="J317" s="44" t="inlineStr"/>
      <c r="K317" s="45" t="inlineStr"/>
    </row>
    <row r="318" ht="24" customHeight="1">
      <c r="A318" s="26" t="inlineStr">
        <is>
          <t>Slide 7</t>
        </is>
      </c>
      <c r="B318" s="27" t="inlineStr">
        <is>
          <t>No. 316</t>
        </is>
      </c>
      <c r="C318" s="28" t="inlineStr">
        <is>
          <t>原則 6</t>
        </is>
      </c>
      <c r="D318" s="29" t="inlineStr">
        <is>
          <t>Be careful of tunnel vision effect, being too concentrated to see other side effects.</t>
        </is>
      </c>
      <c r="E318" s="30" t="inlineStr">
        <is>
          <t>Beware of tunnel vision—becoming so hyper-focused on a single goal that you fail to notice broader side effects or risks.</t>
        </is>
      </c>
      <c r="F318" s="31" t="inlineStr">
        <is>
          <t>警惕「隧道視野（Tunnel vision）」效應：不要因為過度專注於單一目標，而忽略了外圍的副作用或系統性風險。</t>
        </is>
      </c>
      <c r="G318" s="32" t="inlineStr">
        <is>
          <t>細膩「隧道視野（Tunnel vision）」的盲點：毋通目睭干焦釘佇單一目標，煞無注意著邊仔的後遺症抑是規盤局勢的風險。</t>
        </is>
      </c>
      <c r="H318" s="33" t="inlineStr"/>
      <c r="I318" s="29" t="inlineStr"/>
      <c r="J318" s="34" t="inlineStr"/>
      <c r="K318" s="35" t="inlineStr"/>
    </row>
    <row r="319" ht="24" customHeight="1">
      <c r="A319" s="36" t="inlineStr">
        <is>
          <t>Slide 7</t>
        </is>
      </c>
      <c r="B319" s="37" t="inlineStr">
        <is>
          <t>No. 317</t>
        </is>
      </c>
      <c r="C319" s="38" t="inlineStr">
        <is>
          <t>原則 4</t>
        </is>
      </c>
      <c r="D319" s="39" t="inlineStr">
        <is>
          <t>Quick learn / collect the latest information which may need in the future market. ( the methodology of taking "electrical" note)</t>
        </is>
      </c>
      <c r="E319" s="40" t="inlineStr">
        <is>
          <t>Develop a method for quick learning and capturing industry trends using structured digital note-taking.</t>
        </is>
      </c>
      <c r="F319" s="41" t="inlineStr">
        <is>
          <t>建立一套利用數位筆記快速學習與收集未來市場最新資訊的工作方法。</t>
        </is>
      </c>
      <c r="G319" s="42" t="inlineStr">
        <is>
          <t>建立一套利用數位筆記本的手路，緊緊學習、收集未來市場的最新風聲，隨時更新家己的頭殼思維。</t>
        </is>
      </c>
      <c r="H319" s="43" t="inlineStr"/>
      <c r="I319" s="39" t="inlineStr"/>
      <c r="J319" s="44" t="inlineStr"/>
      <c r="K319" s="45" t="inlineStr"/>
    </row>
    <row r="320" ht="24" customHeight="1">
      <c r="A320" s="26" t="inlineStr">
        <is>
          <t>Slide 7</t>
        </is>
      </c>
      <c r="B320" s="27" t="inlineStr">
        <is>
          <t>No. 318</t>
        </is>
      </c>
      <c r="C320" s="28" t="inlineStr">
        <is>
          <t>原則 15</t>
        </is>
      </c>
      <c r="D320" s="29" t="inlineStr">
        <is>
          <t>How does you contribute for this project? To show your value in a quantization way .</t>
        </is>
      </c>
      <c r="E320" s="30" t="inlineStr">
        <is>
          <t>How are you contributing to this project? Always look for ways to quantify your contribution and demonstrate your value clearly to stakeholders.</t>
        </is>
      </c>
      <c r="F320" s="31" t="inlineStr">
        <is>
          <t>自問：你對這個專案的實質貢獻是什麼？隨時思索如何用量化的數據向團隊及主管證明你的價值。</t>
        </is>
      </c>
      <c r="G320" s="32" t="inlineStr">
        <is>
          <t>摸心肝自問：你對這項專案到底有啥物實質貢獻？時時思考按怎用具體量化的數據，向主管佮團隊證明你的價值佮斤兩。</t>
        </is>
      </c>
      <c r="H320" s="33" t="inlineStr"/>
      <c r="I320" s="29" t="inlineStr"/>
      <c r="J320" s="34" t="inlineStr"/>
      <c r="K320" s="35" t="inlineStr"/>
    </row>
    <row r="321" ht="24" customHeight="1">
      <c r="A321" s="36" t="inlineStr">
        <is>
          <t>Slide 7</t>
        </is>
      </c>
      <c r="B321" s="37" t="inlineStr">
        <is>
          <t>No. 319</t>
        </is>
      </c>
      <c r="C321" s="38" t="inlineStr">
        <is>
          <t>原則 17, 原則 18</t>
        </is>
      </c>
      <c r="D321" s="39" t="inlineStr">
        <is>
          <t>You can't always be in the best condition. In the end, you are dead. Don’t be shy to pursuit. Don’t be shy to pursuit.</t>
        </is>
      </c>
      <c r="E321" s="40" t="inlineStr">
        <is>
          <t>Acknowledge that you cannot always be in peak condition, and life is finite. Knowing this, do not let hesitation or shyness hold you back from pursuing your goals.</t>
        </is>
      </c>
      <c r="F321" s="41" t="inlineStr">
        <is>
          <t>接受自己不可能永遠處於完美狀態，且生命是有限的。既然如此，就大膽去追求你的理想，別因為害臊或猶豫而裹足不前。</t>
        </is>
      </c>
      <c r="G321" s="42" t="inlineStr">
        <is>
          <t>認清人無可能永遠維持佇巔峰狀態，而且性命有限、終歸一死。既然按呢，就展起骨氣放膽去追求志向，莫因為歹勢抑是躊躇煞縛手縛跤。</t>
        </is>
      </c>
      <c r="H321" s="43" t="inlineStr"/>
      <c r="I321" s="39" t="inlineStr"/>
      <c r="J321" s="44" t="inlineStr"/>
      <c r="K321" s="45" t="inlineStr"/>
    </row>
    <row r="322" ht="24" customHeight="1">
      <c r="A322" s="26" t="inlineStr">
        <is>
          <t>Slide 7</t>
        </is>
      </c>
      <c r="B322" s="27" t="inlineStr">
        <is>
          <t>No. 320</t>
        </is>
      </c>
      <c r="C322" s="28" t="inlineStr">
        <is>
          <t>原則 4, 原則 16</t>
        </is>
      </c>
      <c r="D322" s="29" t="inlineStr">
        <is>
          <t>Last but not least, read those principles routinely. Think what you achieved and what should be added and enhanced. Think about your achievement and what should be added and enhanced.</t>
        </is>
      </c>
      <c r="E322" s="30" t="inlineStr">
        <is>
          <t>Last but not least, review these working principles routinely. Reflect on your achievements, and determine what needs to be added, modified, or enhanced.</t>
        </is>
      </c>
      <c r="F322" s="31" t="inlineStr">
        <is>
          <t>最後但同樣重要的一點：定期溫習這些工作原則。結合當下的成就與痛點，思考有哪些條款需要增補、修正或強化。</t>
        </is>
      </c>
      <c r="G322" s="32" t="inlineStr">
        <is>
          <t>上尾閣有一項真要緊：定定翻頭溫習這寡工課原則。照著手頭的成果佮痛點，思考看有啥物條款愛閣增補、修正抑是加強。</t>
        </is>
      </c>
      <c r="H322" s="33" t="inlineStr"/>
      <c r="I322" s="29" t="inlineStr"/>
      <c r="J322" s="34" t="inlineStr"/>
      <c r="K322" s="35" t="inlineStr"/>
    </row>
    <row r="323" ht="24" customHeight="1">
      <c r="A323" s="36" t="inlineStr">
        <is>
          <t>Slide 7</t>
        </is>
      </c>
      <c r="B323" s="37" t="inlineStr">
        <is>
          <t>No. 321-1</t>
        </is>
      </c>
      <c r="C323" s="38" t="inlineStr">
        <is>
          <t>原則 9</t>
        </is>
      </c>
      <c r="D323" s="39" t="inlineStr">
        <is>
          <t>Call for help if it is needed. Ask for consult and suggestions. Find your mentors and people. ( 族人)</t>
        </is>
      </c>
      <c r="E323" s="40" t="inlineStr">
        <is>
          <t>Do not hesitate to call for help when needed. Seek consultation and suggestions, and surround yourself with trusted mentors and alignment peers (your "tribe").</t>
        </is>
      </c>
      <c r="F323" s="41" t="inlineStr">
        <is>
          <t>需要支援時絕不逞強，勇於開口。向專家諮詢，並在職場中找到能互相扶持的導師與志同道合的夥伴（你的「族人」）。</t>
        </is>
      </c>
      <c r="G323" s="42" t="inlineStr">
        <is>
          <t>需要支援的時陣莫硬逞強，愛敢開喙喝救兵。向內行的先進請教，佇職場內揣會相挺的師傅佮志同道合的好夥伴（你的「家己人／族人」）。</t>
        </is>
      </c>
      <c r="H323" s="43" t="inlineStr"/>
      <c r="I323" s="39" t="inlineStr"/>
      <c r="J323" s="44" t="inlineStr"/>
      <c r="K323" s="45" t="inlineStr"/>
    </row>
    <row r="324" ht="24" customHeight="1">
      <c r="A324" s="26" t="inlineStr">
        <is>
          <t>Slide 7</t>
        </is>
      </c>
      <c r="B324" s="27" t="inlineStr">
        <is>
          <t>No. 321-2</t>
        </is>
      </c>
      <c r="C324" s="28" t="inlineStr">
        <is>
          <t>原則 9</t>
        </is>
      </c>
      <c r="D324" s="29" t="inlineStr">
        <is>
          <t>Leverage The outcomes from others and share to different team members or department or stakeholders.</t>
        </is>
      </c>
      <c r="E324" s="30" t="inlineStr">
        <is>
          <t>Leverage existing outcomes from other projects/teams, adapt them, and share the insights with your own team, departments, and stakeholders.</t>
        </is>
      </c>
      <c r="F324" s="31" t="inlineStr">
        <is>
          <t>學會借鑑並站在別人的成果上，加以優化後分享給自己的團隊、跨部門窗口或利害關係人，促進共贏。</t>
        </is>
      </c>
      <c r="G324" s="32" t="inlineStr">
        <is>
          <t>著會曉借重別人的現成成果，加以改良變好，閣分享予家己的團隊、外口跨部門佮關係人，做夥得利共好。</t>
        </is>
      </c>
      <c r="H324" s="33" t="inlineStr"/>
      <c r="I324" s="29" t="inlineStr"/>
      <c r="J324" s="34" t="inlineStr"/>
      <c r="K324" s="35" t="inlineStr"/>
    </row>
    <row r="325" ht="24" customHeight="1">
      <c r="A325" s="36" t="inlineStr">
        <is>
          <t>Slide 7</t>
        </is>
      </c>
      <c r="B325" s="37" t="inlineStr">
        <is>
          <t>No. 322-1</t>
        </is>
      </c>
      <c r="C325" s="38" t="inlineStr">
        <is>
          <t>原則 1, 原則 13</t>
        </is>
      </c>
      <c r="D325" s="39" t="inlineStr">
        <is>
          <t>Avoid to be an asshole. Be nice to people you met. Slime, friend. But set up a clear line.</t>
        </is>
      </c>
      <c r="E325" s="40" t="inlineStr">
        <is>
          <t>Avoid behaving unprofessionally; be polite and cooperative with everyone you meet. Be friendly, but establish clear professional boundaries.</t>
        </is>
      </c>
      <c r="F325" s="41" t="inlineStr">
        <is>
          <t>別做令人反感的同事。對遇到的每個人都保持友善與微笑，但必須劃定清楚的專業邊界。</t>
        </is>
      </c>
      <c r="G325" s="42" t="inlineStr">
        <is>
          <t>毋通做予人討厭、歹鬥陣的同事。對拄著的逐個人攏滿面笑容、和氣相待，毋過專業的公事界線愛劃予清楚。</t>
        </is>
      </c>
      <c r="H325" s="43" t="inlineStr"/>
      <c r="I325" s="39" t="inlineStr"/>
      <c r="J325" s="44" t="inlineStr"/>
      <c r="K325" s="45" t="inlineStr"/>
    </row>
    <row r="326" ht="24" customHeight="1">
      <c r="A326" s="26" t="inlineStr">
        <is>
          <t>Slide 7</t>
        </is>
      </c>
      <c r="B326" s="27" t="inlineStr">
        <is>
          <t>No. 322-2</t>
        </is>
      </c>
      <c r="C326" s="28" t="inlineStr">
        <is>
          <t>原則 1, 原則 13</t>
        </is>
      </c>
      <c r="D326" s="29" t="inlineStr">
        <is>
          <t>Set a deadline or expected time to check result. Evaluate the effort and value. Using a google calendar. Set small milestone</t>
        </is>
      </c>
      <c r="E326" s="30" t="inlineStr">
        <is>
          <t>Establish clear deadlines and milestone review checkpoints. Rigorously evaluate the effort required against the expected ROI, leverage digital tools like Google Calendar, and break major goals into manageable micro-milestones.</t>
        </is>
      </c>
      <c r="F326" s="31" t="inlineStr">
        <is>
          <t>設定明確的完成期限與階段性檢核點。審慎評估投入的資源與預估價值，善用 Google Calendar 等工具排定時程，將宏大目標拆解為可執行的微型里程碑。</t>
        </is>
      </c>
      <c r="G326" s="32" t="inlineStr">
        <is>
          <t>做代誌愛畫出期限佮查對的關卡。秤看覓投入的氣力佮收成的價值，善用行事曆排定步調，共大志向切做一步一步的小目標，按部就班自然省氣力。</t>
        </is>
      </c>
      <c r="H326" s="33" t="inlineStr"/>
      <c r="I326" s="29" t="inlineStr"/>
      <c r="J326" s="34" t="inlineStr"/>
      <c r="K326" s="35" t="inlineStr"/>
    </row>
    <row r="327" ht="24" customHeight="1">
      <c r="A327" s="36" t="inlineStr">
        <is>
          <t>Slide 7</t>
        </is>
      </c>
      <c r="B327" s="37" t="inlineStr">
        <is>
          <t>No. 323-1</t>
        </is>
      </c>
      <c r="C327" s="38" t="inlineStr">
        <is>
          <t>原則 6, 原則 10</t>
        </is>
      </c>
      <c r="D327" s="39" t="inlineStr">
        <is>
          <t>Practice how to ask a good questions. Make a list, your talk speed. What you had achieved.</t>
        </is>
      </c>
      <c r="E327" s="40" t="inlineStr">
        <is>
          <t>Practice how to ask high-quality questions. Rehearse your delivery, control your speaking speed, and back your context with what you have achieved.</t>
        </is>
      </c>
      <c r="F327" s="41" t="inlineStr">
        <is>
          <t>練習如何提出好問題。提前列出大綱、控制說話速度，並在提問時適當帶入已有成果的上下文。</t>
        </is>
      </c>
      <c r="G327" s="42" t="inlineStr">
        <is>
          <t>苦練問好問題的手路。提早列好條目、講話速度節奏顧穩，問問題的時陣順序搭入現有的成果做底，問話才會頂真有肉。</t>
        </is>
      </c>
      <c r="H327" s="43" t="inlineStr"/>
      <c r="I327" s="39" t="inlineStr"/>
      <c r="J327" s="44" t="inlineStr"/>
      <c r="K327" s="45" t="inlineStr"/>
    </row>
    <row r="328" ht="24" customHeight="1">
      <c r="A328" s="26" t="inlineStr">
        <is>
          <t>Slide 7</t>
        </is>
      </c>
      <c r="B328" s="27" t="inlineStr">
        <is>
          <t>No. 323-2</t>
        </is>
      </c>
      <c r="C328" s="28" t="inlineStr">
        <is>
          <t>原則 6, 原則 10</t>
        </is>
      </c>
      <c r="D328" s="29" t="inlineStr">
        <is>
          <t>Does your boss really need your personal opinion or expertise? Is this project need it or need team decision or based on facts and scientific / statistical data. Or only judge by manager’s feeling.</t>
        </is>
      </c>
      <c r="E328" s="30" t="inlineStr">
        <is>
          <t>Evaluate if your manager truly wants your personal opinion or deep technical expertise. Determine if the project requires a team decision based on scientific, statistical data, or if it is ultimately guided by manager intuition.</t>
        </is>
      </c>
      <c r="F328" s="31" t="inlineStr">
        <is>
          <t>判斷主管此時究竟需要你的個人主觀意見，還是深度技術專業？釐清該專案是需要基於事實與科學數據的團隊決策，還是實際上僅憑主管的直覺決定？</t>
        </is>
      </c>
      <c r="G328" s="32" t="inlineStr">
        <is>
          <t>先看清主管這馬到底是需要你的個人看法，抑是深度的技術專業？摸清楚這項專案是需要憑事實佮科學數據來做團隊決策，抑是到頭來干焦憑主管的直覺來決定？</t>
        </is>
      </c>
      <c r="H328" s="33" t="inlineStr"/>
      <c r="I328" s="29" t="inlineStr"/>
      <c r="J328" s="34" t="inlineStr"/>
      <c r="K328" s="35" t="inlineStr"/>
    </row>
    <row r="329" ht="24" customHeight="1">
      <c r="A329" s="36" t="inlineStr">
        <is>
          <t>Slide 7</t>
        </is>
      </c>
      <c r="B329" s="37" t="inlineStr">
        <is>
          <t>No. 324-1</t>
        </is>
      </c>
      <c r="C329" s="38" t="inlineStr">
        <is>
          <t>原則 6</t>
        </is>
      </c>
      <c r="D329" s="39" t="inlineStr">
        <is>
          <t>To bring yourself to another higher level. Buy more insurance (power of circle), and you don’t need to prepare all in one time and it will burnout your energy.</t>
        </is>
      </c>
      <c r="E329" s="40" t="inlineStr">
        <is>
          <t>To elevate your career to the next level, build a broad safety net (expanding your circle of competence). Avoid trying to prepare everything at once, which will only burn out your energy.</t>
        </is>
      </c>
      <c r="F329" s="41" t="inlineStr">
        <is>
          <t>為了將自己提昇到更高的層次，必須拓展能力圈（如同購買保險增加防護網）。避免試圖一次準備所有事情，這只會燒光你的精力。</t>
        </is>
      </c>
      <c r="G329" s="42" t="inlineStr">
        <is>
          <t>想欲共家己提升到閣較懸的境界，著愛開闊家己的能力圈（親像買保險加添防護網）。毋免想欲一擺準備好所有的代誌，按呢只會共精氣神消磨了了。</t>
        </is>
      </c>
      <c r="H329" s="43" t="inlineStr"/>
      <c r="I329" s="39" t="inlineStr"/>
      <c r="J329" s="44" t="inlineStr"/>
      <c r="K329" s="45" t="inlineStr"/>
    </row>
    <row r="330" ht="24" customHeight="1">
      <c r="A330" s="26" t="inlineStr">
        <is>
          <t>Slide 7</t>
        </is>
      </c>
      <c r="B330" s="27" t="inlineStr">
        <is>
          <t>No. 324-2</t>
        </is>
      </c>
      <c r="C330" s="28" t="inlineStr">
        <is>
          <t>原則 6</t>
        </is>
      </c>
      <c r="D330" s="29" t="inlineStr">
        <is>
          <t>What is possible strategies and tactics to deal with the task/action to achieve? With structurally thinking. Breakdown the detail.</t>
        </is>
      </c>
      <c r="E330" s="30" t="inlineStr">
        <is>
          <t>Use structured thinking to define the strategies (what to do) and tactics (how to do it) needed to achieve your goals. Break down the execution details.</t>
        </is>
      </c>
      <c r="F330" s="31" t="inlineStr">
        <is>
          <t>運用結構化思維擬定達成任務的策略與戰術。將細節逐層拆解落地。</t>
        </is>
      </c>
      <c r="G330" s="32" t="inlineStr">
        <is>
          <t>運用有條有理的結構化思維，擬定達成任務的策略佮戰術步數。共細節一層一層拆開，踏實落去執行。</t>
        </is>
      </c>
      <c r="H330" s="33" t="inlineStr"/>
      <c r="I330" s="29" t="inlineStr"/>
      <c r="J330" s="34" t="inlineStr"/>
      <c r="K330" s="35" t="inlineStr"/>
    </row>
    <row r="331" ht="24" customHeight="1">
      <c r="A331" s="36" t="inlineStr">
        <is>
          <t>Slide 7</t>
        </is>
      </c>
      <c r="B331" s="37" t="inlineStr">
        <is>
          <t>No. 325-1</t>
        </is>
      </c>
      <c r="C331" s="38" t="inlineStr">
        <is>
          <t>原則 6</t>
        </is>
      </c>
      <c r="D331" s="39" t="inlineStr">
        <is>
          <t>Check when big boss visit your department and prepare question list. ( or potential document for review), future view.</t>
        </is>
      </c>
      <c r="E331" s="40" t="inlineStr">
        <is>
          <t>Track the schedule of senior executives visiting your department, and prepare a curated list of strategic questions, review documents, and forward-looking insights in advance.</t>
        </is>
      </c>
      <c r="F331" s="41" t="inlineStr">
        <is>
          <t>密切留意大老闆前來部門視察的時程，預先準備好研討問題清單、審閱文件以及對未來業務發展的展望簡報。</t>
        </is>
      </c>
      <c r="G331" s="42" t="inlineStr">
        <is>
          <t>大頭家啥物時陣欲來部門巡察，時程愛摸透透；進前備好問答清單、審核冊頁佮未來的經營願景，隨時備好勢，一開喙就展出實力。</t>
        </is>
      </c>
      <c r="H331" s="43" t="inlineStr"/>
      <c r="I331" s="39" t="inlineStr"/>
      <c r="J331" s="44" t="inlineStr"/>
      <c r="K331" s="45" t="inlineStr"/>
    </row>
    <row r="332" ht="24" customHeight="1">
      <c r="A332" s="26" t="inlineStr">
        <is>
          <t>Slide 7</t>
        </is>
      </c>
      <c r="B332" s="27" t="inlineStr">
        <is>
          <t>No. 325-2</t>
        </is>
      </c>
      <c r="C332" s="28" t="inlineStr">
        <is>
          <t>原則 6</t>
        </is>
      </c>
      <c r="D332" s="29" t="inlineStr">
        <is>
          <t>Many people only asking or questioning without action. And you? Thinker or doer.</t>
        </is>
      </c>
      <c r="E332" s="30" t="inlineStr">
        <is>
          <t>Many people only ask questions or complain without taking action. Ask yourself: "Am I just a thinker, or am I a doer?"</t>
        </is>
      </c>
      <c r="F332" s="31" t="inlineStr">
        <is>
          <t>許多人只會提出質疑或嘴上抱怨，卻沒有半點行動。問自己：你究竟是一個空想者，還是起而行之的行動者？</t>
        </is>
      </c>
      <c r="G332" s="32" t="inlineStr">
        <is>
          <t>真濟人干焦會曉開喙問、出喙嫌，煞一步路攏無徙。問家己一句：你到底是出一張喙空想的人，抑是起跤動手去做的實幹家？</t>
        </is>
      </c>
      <c r="H332" s="33" t="inlineStr"/>
      <c r="I332" s="29" t="inlineStr"/>
      <c r="J332" s="34" t="inlineStr"/>
      <c r="K332" s="35" t="inlineStr"/>
    </row>
    <row r="333" ht="24" customHeight="1">
      <c r="A333" s="36" t="inlineStr">
        <is>
          <t>Slide 7</t>
        </is>
      </c>
      <c r="B333" s="37" t="inlineStr">
        <is>
          <t>No. 326</t>
        </is>
      </c>
      <c r="C333" s="38" t="inlineStr">
        <is>
          <t>原則 16</t>
        </is>
      </c>
      <c r="D333" s="39" t="inlineStr">
        <is>
          <t>Learn how to learn.</t>
        </is>
      </c>
      <c r="E333" s="40" t="inlineStr">
        <is>
          <t>Master the meta-skill of learning how to learn, allowing you to acquire new knowledge rapidly.</t>
        </is>
      </c>
      <c r="F333" s="41" t="inlineStr">
        <is>
          <t>掌握「學習如何學習」的元學習能力，這是讓你快速切入任何新領域的核心基石。</t>
        </is>
      </c>
      <c r="G333" s="42" t="inlineStr">
        <is>
          <t>磨練「學會曉按怎去學習」的真功夫，這才是予你隨時切入新天地、上硬陣的基底。</t>
        </is>
      </c>
      <c r="H333" s="43" t="inlineStr"/>
      <c r="I333" s="39" t="inlineStr"/>
      <c r="J333" s="44" t="inlineStr"/>
      <c r="K333" s="45" t="inlineStr"/>
    </row>
    <row r="334" ht="24" customHeight="1">
      <c r="A334" s="26" t="inlineStr">
        <is>
          <t>Slide 7</t>
        </is>
      </c>
      <c r="B334" s="27" t="inlineStr">
        <is>
          <t>No. 327</t>
        </is>
      </c>
      <c r="C334" s="28" t="inlineStr">
        <is>
          <t>原則 1, 原則 8</t>
        </is>
      </c>
      <c r="D334" s="29" t="inlineStr">
        <is>
          <t>be careful the time you spent on which task you need to list down the priorities and make sure you do the things with higher priority first</t>
        </is>
      </c>
      <c r="E334" s="30" t="inlineStr">
        <is>
          <t>Be highly disciplined about how you allocate your time. Keep a prioritized list and ensure you tackle high-priority items first.</t>
        </is>
      </c>
      <c r="F334" s="31" t="inlineStr">
        <is>
          <t>對時間的分配保持高度自律。列出優先級清單，確保第一時間處理最高優先順序的要務。</t>
        </is>
      </c>
      <c r="G334" s="32" t="inlineStr">
        <is>
          <t>時間花佇佗位愛嚴格自律。列出輕重緩急的優先清單，督促家己一定愛先共排頭名的重大工課辦予好。</t>
        </is>
      </c>
      <c r="H334" s="33" t="inlineStr"/>
      <c r="I334" s="29" t="inlineStr"/>
      <c r="J334" s="34" t="inlineStr"/>
      <c r="K334" s="35" t="inlineStr"/>
    </row>
    <row r="335" ht="24" customHeight="1">
      <c r="A335" s="36" t="inlineStr">
        <is>
          <t>Slide 7</t>
        </is>
      </c>
      <c r="B335" s="37" t="inlineStr">
        <is>
          <t>No. 328</t>
        </is>
      </c>
      <c r="C335" s="38" t="inlineStr">
        <is>
          <t>原則 9, 原則 15</t>
        </is>
      </c>
      <c r="D335" s="39" t="inlineStr">
        <is>
          <t>Question list for the one you admire or whom you can learn from. Failure experiment. Do you have any failure experience in NXP and communication issue with the BL. How do you conquer? Do you have any career / skill enhancement / financial plan to reach your current position ? Any feedback for what you observed from me? SBI model. Situation-Behavior-Impact (SBI)</t>
        </is>
      </c>
      <c r="E335" s="40" t="inlineStr">
        <is>
          <t>Prepare questions for mentors or leaders you admire: "What failures have you experienced, and how did you conquer communication issues?" "What career and financial plans brought you to your current level?" and "What feedback do you have for me?" Use the SBI (Situation-Behavior-Impact) model to structure feedback.</t>
        </is>
      </c>
      <c r="F335" s="41" t="inlineStr">
        <is>
          <t>為你欣賞或值得學習的導師準備提問清單：「您過去經歷過什麼失敗，又是如何克服跨國溝通障礙的？」、「您是如何規劃職涯與財務以達到今天的成就？」以及「對我目前的觀察有什麼反饋？」使用 SBI（情境-行為-影響）模型來具體化建議。</t>
        </is>
      </c>
      <c r="G335" s="42" t="inlineStr">
        <is>
          <t>替你敬佩、值得學習的師傅抑是先進準備請益清單：「您過去經歷過啥物失敗、按怎克服跨部門溝通的難關？」、「您是按怎規劃職涯佮財務才行到今仔日的地位？」閣有「對我這陣的表現有啥物指教？」用 SBI（情境-行為-影響）的架構來具體請教。</t>
        </is>
      </c>
      <c r="H335" s="43" t="inlineStr"/>
      <c r="I335" s="39" t="inlineStr"/>
      <c r="J335" s="44" t="inlineStr"/>
      <c r="K335" s="45" t="inlineStr"/>
    </row>
    <row r="336" ht="24" customHeight="1">
      <c r="A336" s="26" t="inlineStr">
        <is>
          <t>Slide 7</t>
        </is>
      </c>
      <c r="B336" s="27" t="inlineStr">
        <is>
          <t>No. 329</t>
        </is>
      </c>
      <c r="C336" s="28" t="inlineStr">
        <is>
          <t>原則 3, 原則 6</t>
        </is>
      </c>
      <c r="D336" s="29" t="inlineStr">
        <is>
          <t>Each task has DRI, schedule, bottleneck, what kind of information and approval needed, or support…etc.</t>
        </is>
      </c>
      <c r="E336" s="30" t="inlineStr">
        <is>
          <t>Ensure every task has a designated DRI, clear timeline, identified bottlenecks, and a list of required approvals or support resources.</t>
        </is>
      </c>
      <c r="F336" s="31" t="inlineStr">
        <is>
          <t>確保每項任務都明確列出：負責人（DRI）、時間表、潛在瓶頸、需要哪些審批授權，以及需要什麼資源支持。</t>
        </is>
      </c>
      <c r="G336" s="32" t="inlineStr">
        <is>
          <t>每項工課攏愛烏字白紙寫予明：啥人負總責（DRI）、時程表、佗位會卡關、需要啥人允准蓋印，閣有愛借用啥物資源來相挺。</t>
        </is>
      </c>
      <c r="H336" s="33" t="inlineStr"/>
      <c r="I336" s="29" t="inlineStr"/>
      <c r="J336" s="34" t="inlineStr"/>
      <c r="K336" s="35" t="inlineStr"/>
    </row>
    <row r="337" ht="24" customHeight="1">
      <c r="A337" s="36" t="inlineStr">
        <is>
          <t>Slide 7</t>
        </is>
      </c>
      <c r="B337" s="37" t="inlineStr">
        <is>
          <t>No. 330</t>
        </is>
      </c>
      <c r="C337" s="38" t="inlineStr">
        <is>
          <t>原則 18</t>
        </is>
      </c>
      <c r="D337" s="39" t="inlineStr">
        <is>
          <t>To have a long-term problem-solving attitude / grown mindset. Patient, slow down and resilient and antifragile.</t>
        </is>
      </c>
      <c r="E337" s="40" t="inlineStr">
        <is>
          <t>Adopt a long-term problem-solving attitude and a growth mindset. Remain patient, slow down when needed, and cultivate resilience and antifragility.</t>
        </is>
      </c>
      <c r="F337" s="41" t="inlineStr">
        <is>
          <t>秉持長期主義的解決問題態度與成長型思維。保持耐心、適度放慢腳步，修煉韌性與反脆弱能力。</t>
        </is>
      </c>
      <c r="G337" s="42" t="inlineStr">
        <is>
          <t>抱持看長看遠的解決問題態度佮成長思維。愛有耐性、跤步放勻，鍛鍊韌性佮愈挫愈勇（反脆弱）的本事。</t>
        </is>
      </c>
      <c r="H337" s="43" t="inlineStr"/>
      <c r="I337" s="39" t="inlineStr"/>
      <c r="J337" s="44" t="inlineStr"/>
      <c r="K337" s="45" t="inlineStr"/>
    </row>
    <row r="338" ht="24" customHeight="1">
      <c r="A338" s="26" t="inlineStr">
        <is>
          <t>Slide 7</t>
        </is>
      </c>
      <c r="B338" s="27" t="inlineStr">
        <is>
          <t>No. 331</t>
        </is>
      </c>
      <c r="C338" s="28" t="inlineStr">
        <is>
          <t>原則 18</t>
        </is>
      </c>
      <c r="D338" s="29" t="inlineStr">
        <is>
          <t>Don’t’ give up to find a better solution for some tasks. It could be a long journey. For some items, it may be good enough for now.</t>
        </is>
      </c>
      <c r="E338" s="30" t="inlineStr">
        <is>
          <t>Do not give up on finding optimized solutions for critical tasks, even if it is a long journey. However, recognize when a solution is "good enough for now" to avoid over-engineering.</t>
        </is>
      </c>
      <c r="F338" s="31" t="inlineStr">
        <is>
          <t>對於關鍵任務，不要放棄尋找更佳解，這可能是一場持久戰。但對於次要任務，要懂得適可而止、接受「目前夠用就好」，避免過度設計。</t>
        </is>
      </c>
      <c r="G338" s="32" t="inlineStr">
        <is>
          <t>關鍵要緊的工課，莫放棄揣出閣較讚的解法，就算路途遙遠嘛愛堅持；毋過對待次要的瑣事，著愛知足收手、會曉「這馬堪用就好」，毋免刁鑽過頭。</t>
        </is>
      </c>
      <c r="H338" s="33" t="inlineStr"/>
      <c r="I338" s="29" t="inlineStr"/>
      <c r="J338" s="34" t="inlineStr"/>
      <c r="K338" s="35" t="inlineStr"/>
    </row>
    <row r="339" ht="24" customHeight="1">
      <c r="A339" s="36" t="inlineStr">
        <is>
          <t>Slide 7</t>
        </is>
      </c>
      <c r="B339" s="37" t="inlineStr">
        <is>
          <t>No. 332</t>
        </is>
      </c>
      <c r="C339" s="38" t="inlineStr">
        <is>
          <t>原則 9, 原則 11, 原則 13</t>
        </is>
      </c>
      <c r="D339" s="39" t="inlineStr">
        <is>
          <t>Let your colleagues and boss do their jobs. Don’t cross the line. Speak their language / terms.</t>
        </is>
      </c>
      <c r="E339" s="40" t="inlineStr">
        <is>
          <t>Allow your colleagues and manager to do their jobs without crossing boundaries. Learn to speak their language and use their professional terminology.</t>
        </is>
      </c>
      <c r="F339" s="41" t="inlineStr">
        <is>
          <t>放手讓同事和主管做他們該做的事，不要越俎代庖。學會用他們的語言與專業術語溝通，減少隔閡。</t>
        </is>
      </c>
      <c r="G339" s="42" t="inlineStr">
        <is>
          <t>放手予同事佮主管去做怹本份的工課，毋通越權插手。學會曉用怹的語言佮專業術語來溝通，減少隔閡。</t>
        </is>
      </c>
      <c r="H339" s="43" t="inlineStr"/>
      <c r="I339" s="39" t="inlineStr"/>
      <c r="J339" s="44" t="inlineStr"/>
      <c r="K339" s="45" t="inlineStr"/>
    </row>
    <row r="340" ht="24" customHeight="1">
      <c r="A340" s="26" t="inlineStr">
        <is>
          <t>Slide 7</t>
        </is>
      </c>
      <c r="B340" s="27" t="inlineStr">
        <is>
          <t>No. 333</t>
        </is>
      </c>
      <c r="C340" s="28" t="inlineStr">
        <is>
          <t>原則 11, 原則 14</t>
        </is>
      </c>
      <c r="D340" s="29" t="inlineStr">
        <is>
          <t>You cannot say no for tasks related to business level. Be silent.</t>
        </is>
      </c>
      <c r="E340" s="30" t="inlineStr">
        <is>
          <t>When assigned tasks linked directly to high-level strategic business objectives, outright refusal is not an option; practicing tactical silence and thoughtful alignment is preferred.</t>
        </is>
      </c>
      <c r="F340" s="31" t="inlineStr">
        <is>
          <t>面對攸關企業整體戰略層面的任務時，切忌直接拒絕；適度保持沉默並全盤理解背後意圖，才是成熟的處事態度。</t>
        </is>
      </c>
      <c r="G340" s="32" t="inlineStr">
        <is>
          <t>面對關係著公司經營大局的任務，千萬毋通直接應講「莫」；喙恬恬、心頭掠定，先摸清全盤底細，才閣妥當對齊應對。</t>
        </is>
      </c>
      <c r="H340" s="33" t="inlineStr"/>
      <c r="I340" s="29" t="inlineStr"/>
      <c r="J340" s="34" t="inlineStr"/>
      <c r="K340" s="35" t="inlineStr"/>
    </row>
    <row r="341" ht="24" customHeight="1">
      <c r="A341" s="36" t="inlineStr">
        <is>
          <t>Slide 7</t>
        </is>
      </c>
      <c r="B341" s="37" t="inlineStr">
        <is>
          <t>No. 334</t>
        </is>
      </c>
      <c r="C341" s="38" t="inlineStr">
        <is>
          <t>原則 13</t>
        </is>
      </c>
      <c r="D341" s="39" t="inlineStr">
        <is>
          <t>No pursuit fairness in the office.</t>
        </is>
      </c>
      <c r="E341" s="40" t="inlineStr">
        <is>
          <t>Do not waste energy chasing absolute fairness in the office; focus instead on managing your outcomes and value.</t>
        </is>
      </c>
      <c r="F341" s="41" t="inlineStr">
        <is>
          <t>別在職場上盲目追求絕對的公平，這不現實；將精力集中在你能掌控的成果與價值創造上。</t>
        </is>
      </c>
      <c r="G341" s="42" t="inlineStr">
        <is>
          <t>莫佇辦公廳盲目追求公道公平，彼是無影的代誌；心神著全部提來顧好家己做會出來的成果佮硬實力。</t>
        </is>
      </c>
      <c r="H341" s="43" t="inlineStr"/>
      <c r="I341" s="39" t="inlineStr"/>
      <c r="J341" s="44" t="inlineStr"/>
      <c r="K341" s="45" t="inlineStr"/>
    </row>
    <row r="342" ht="24" customHeight="1">
      <c r="A342" s="26" t="inlineStr">
        <is>
          <t>Slide 7</t>
        </is>
      </c>
      <c r="B342" s="27" t="inlineStr">
        <is>
          <t>No. 335</t>
        </is>
      </c>
      <c r="C342" s="28" t="inlineStr">
        <is>
          <t>原則 16, 原則 18</t>
        </is>
      </c>
      <c r="D342" s="29" t="inlineStr">
        <is>
          <t>No one can stop your learning.</t>
        </is>
      </c>
      <c r="E342" s="30" t="inlineStr">
        <is>
          <t>Remember that no matter the environment, no one can stop you from learning and growing.</t>
        </is>
      </c>
      <c r="F342" s="31" t="inlineStr">
        <is>
          <t>記住：無論環境多惡劣，都沒有人能阻止你持續學習與自我提升。</t>
        </is>
      </c>
      <c r="G342" s="32" t="inlineStr">
        <is>
          <t>記佇心肝內：環境閣較按怎惡劣，嘛無半個人有法度阻擋你繼續學新本領、提升家己。</t>
        </is>
      </c>
      <c r="H342" s="33" t="inlineStr"/>
      <c r="I342" s="29" t="inlineStr"/>
      <c r="J342" s="34" t="inlineStr"/>
      <c r="K342" s="35" t="inlineStr"/>
    </row>
    <row r="343" ht="24" customHeight="1">
      <c r="A343" s="36" t="inlineStr">
        <is>
          <t>Slide 7</t>
        </is>
      </c>
      <c r="B343" s="37" t="inlineStr">
        <is>
          <t>No. 336</t>
        </is>
      </c>
      <c r="C343" s="38" t="inlineStr">
        <is>
          <t>原則 8, 原則 16</t>
        </is>
      </c>
      <c r="D343" s="39" t="inlineStr">
        <is>
          <t>Evaluate the value of your tasks. In short term or long term view. Try to gain value or experience from what you did.</t>
        </is>
      </c>
      <c r="E343" s="40" t="inlineStr">
        <is>
          <t>Regularly evaluate the value of your tasks from both short-term and long-term perspectives. Aim to extract transferable experience from everything you do.</t>
        </is>
      </c>
      <c r="F343" s="41" t="inlineStr">
        <is>
          <t>從短期與長期的雙重維度評估你手頭任務的價值。致力於從做過的每件事中吸取能帶得走的實戰經驗。</t>
        </is>
      </c>
      <c r="G343" s="42" t="inlineStr">
        <is>
          <t>對目前佮長遠的眼光，秤出你手頭每項工課的輕重。定著愛對每件經手過的代誌，提煉出別人偷袂走的實戰功夫。</t>
        </is>
      </c>
      <c r="H343" s="43" t="inlineStr"/>
      <c r="I343" s="39" t="inlineStr"/>
      <c r="J343" s="44" t="inlineStr"/>
      <c r="K343" s="45" t="inlineStr"/>
    </row>
    <row r="344" ht="24" customHeight="1">
      <c r="A344" s="26" t="inlineStr">
        <is>
          <t>Slide 7</t>
        </is>
      </c>
      <c r="B344" s="27" t="inlineStr">
        <is>
          <t>No. 337</t>
        </is>
      </c>
      <c r="C344" s="28" t="inlineStr">
        <is>
          <t>原則 18</t>
        </is>
      </c>
      <c r="D344" s="29" t="inlineStr">
        <is>
          <t>People attend to think in a negative way or overthink.</t>
        </is>
      </c>
      <c r="E344" s="30" t="inlineStr">
        <is>
          <t>Acknowledge that people naturally tend to overthink or gravitate toward negative scenarios; protect your mindset from this bias. (Related to Item 131)</t>
        </is>
      </c>
      <c r="F344" s="31" t="inlineStr">
        <is>
          <t>意識到人們天生容易悲觀過度或想太多。學會保護自己不受這種集體負面情緒的影響。</t>
        </is>
      </c>
      <c r="G344" s="32" t="inlineStr">
        <is>
          <t>愛知影人天生容易想傷濟、往歹的方面鑽牛角尖。愛會曉徛穩跤步，保護家己的心態，莫予這種負面氣氛牽著鼻仔走。</t>
        </is>
      </c>
      <c r="H344" s="33" t="inlineStr"/>
      <c r="I344" s="29" t="inlineStr"/>
      <c r="J344" s="34" t="inlineStr"/>
      <c r="K344" s="35" t="inlineStr"/>
    </row>
    <row r="345" ht="24" customHeight="1">
      <c r="A345" s="36" t="inlineStr">
        <is>
          <t>Slide 7</t>
        </is>
      </c>
      <c r="B345" s="37" t="inlineStr">
        <is>
          <t>No. 338</t>
        </is>
      </c>
      <c r="C345" s="38" t="inlineStr">
        <is>
          <t>原則 10</t>
        </is>
      </c>
      <c r="D345" s="39" t="inlineStr">
        <is>
          <t>More discussions is good ( if not diverge). Learn from others.</t>
        </is>
      </c>
      <c r="E345" s="40" t="inlineStr">
        <is>
          <t>More collaborative discussion is beneficial as long as it does not diverge from the agenda. Learn actively from others' inputs.</t>
        </is>
      </c>
      <c r="F345" s="41" t="inlineStr">
        <is>
          <t>只要不發散失焦，多討論交流是件好事。積極從他人的觀點中吸取營養。</t>
        </is>
      </c>
      <c r="G345" s="42" t="inlineStr">
        <is>
          <t>只要無拍散離題，逐家加參詳是真好的代誌。愛歡喜對別人的見解內面，吸收真才實學做養分。</t>
        </is>
      </c>
      <c r="H345" s="43" t="inlineStr"/>
      <c r="I345" s="39" t="inlineStr"/>
      <c r="J345" s="44" t="inlineStr"/>
      <c r="K345" s="45" t="inlineStr"/>
    </row>
    <row r="346" ht="24" customHeight="1">
      <c r="A346" s="26" t="inlineStr">
        <is>
          <t>Slide 7</t>
        </is>
      </c>
      <c r="B346" s="27" t="inlineStr">
        <is>
          <t>No. 339</t>
        </is>
      </c>
      <c r="C346" s="28" t="inlineStr">
        <is>
          <t>原則 11, 原則 13</t>
        </is>
      </c>
      <c r="D346" s="29" t="inlineStr">
        <is>
          <t>Speak out, you are occupied by other business.</t>
        </is>
      </c>
      <c r="E346" s="30" t="inlineStr">
        <is>
          <t>Bravely speak up and declare when your bandwidth is fully occupied by other priority business.</t>
        </is>
      </c>
      <c r="F346" s="31" t="inlineStr">
        <is>
          <t>當你的工作頻寬已被其他優先專案占滿時，坦誠且明確地說出來。</t>
        </is>
      </c>
      <c r="G346" s="32" t="inlineStr">
        <is>
          <t>若手頭工課已經窒牢、無半點冗剩時間，著愛大方、明明白白講予頭家佮同事知，莫死硬食落去。</t>
        </is>
      </c>
      <c r="H346" s="33" t="inlineStr"/>
      <c r="I346" s="29" t="inlineStr"/>
      <c r="J346" s="34" t="inlineStr"/>
      <c r="K346" s="35" t="inlineStr"/>
    </row>
    <row r="347" ht="24" customHeight="1">
      <c r="A347" s="36" t="inlineStr">
        <is>
          <t>Slide 7</t>
        </is>
      </c>
      <c r="B347" s="37" t="inlineStr">
        <is>
          <t>No. 340</t>
        </is>
      </c>
      <c r="C347" s="38" t="inlineStr">
        <is>
          <t>原則 16</t>
        </is>
      </c>
      <c r="D347" s="39" t="inlineStr">
        <is>
          <t>To be an expert in your field</t>
        </is>
      </c>
      <c r="E347" s="40" t="inlineStr">
        <is>
          <t>Commit to becoming a true, recognized subject-matter expert in your specific field.</t>
        </is>
      </c>
      <c r="F347" s="41" t="inlineStr">
        <is>
          <t>深耕自己所在的領域，立志成為無可替代的行業專家。</t>
        </is>
      </c>
      <c r="G347" s="42" t="inlineStr">
        <is>
          <t>專心深耕家己的專業領域，立志做彼個無人會當取代的專家師傅。</t>
        </is>
      </c>
      <c r="H347" s="43" t="inlineStr"/>
      <c r="I347" s="39" t="inlineStr"/>
      <c r="J347" s="44" t="inlineStr"/>
      <c r="K347" s="45" t="inlineStr"/>
    </row>
    <row r="348" ht="24" customHeight="1">
      <c r="A348" s="26" t="inlineStr">
        <is>
          <t>Slide 7</t>
        </is>
      </c>
      <c r="B348" s="27" t="inlineStr">
        <is>
          <t>No. 341</t>
        </is>
      </c>
      <c r="C348" s="28" t="inlineStr">
        <is>
          <t>原則 6, 原則 8</t>
        </is>
      </c>
      <c r="D348" s="29" t="inlineStr">
        <is>
          <t>Choose OKR / OGSM / KPI. The important things first. Top 3 dailies. OGSM.</t>
        </is>
      </c>
      <c r="E348" s="30" t="inlineStr">
        <is>
          <t>Use frameworks like OKRs, OGSM, or KPIs to filter your workload. Always tackle the most important things first and focus on your top 3 daily actions.</t>
        </is>
      </c>
      <c r="F348" s="31" t="inlineStr">
        <is>
          <t>善用 OKR、OGSM 或 KPI 架構篩選任務。永遠先做最重要的事，每天聚焦於推進前 3 大關鍵行動。</t>
        </is>
      </c>
      <c r="G348" s="32" t="inlineStr">
        <is>
          <t>善用 OKR、OGSM 抑是 KPI 架構來篩選工課。永遠先做上要緊的代誌，逐日專注拚出前 3 大關鍵行動。</t>
        </is>
      </c>
      <c r="H348" s="33" t="inlineStr"/>
      <c r="I348" s="29" t="inlineStr"/>
      <c r="J348" s="34" t="inlineStr"/>
      <c r="K348" s="35" t="inlineStr"/>
    </row>
    <row r="349" ht="24" customHeight="1">
      <c r="A349" s="36" t="inlineStr">
        <is>
          <t>Slide 7</t>
        </is>
      </c>
      <c r="B349" s="37" t="inlineStr">
        <is>
          <t>No. 342</t>
        </is>
      </c>
      <c r="C349" s="38" t="inlineStr">
        <is>
          <t>原則 12</t>
        </is>
      </c>
      <c r="D349" s="39" t="inlineStr">
        <is>
          <t>Secure your field ( territory) first and protect your passion. Energy.</t>
        </is>
      </c>
      <c r="E349" s="40" t="inlineStr">
        <is>
          <t>Secure your own professional territory first before expanding. Protect your passion and manage your mental energy.</t>
        </is>
      </c>
      <c r="F349" s="41" t="inlineStr">
        <is>
          <t>先站穩並鞏固你自己的業務領地，再圖擴張。保護好你的工作熱情，做好能量管理。</t>
        </is>
      </c>
      <c r="G349" s="42" t="inlineStr">
        <is>
          <t>先踏穩並鞏固家己的本業地盤，才來講擴展。顧好做代誌的熱情，管好精氣神，莫做到氣力放盡。</t>
        </is>
      </c>
      <c r="H349" s="43" t="inlineStr"/>
      <c r="I349" s="39" t="inlineStr"/>
      <c r="J349" s="44" t="inlineStr"/>
      <c r="K349" s="45" t="inlineStr"/>
    </row>
    <row r="350" ht="24" customHeight="1">
      <c r="A350" s="26" t="inlineStr">
        <is>
          <t>Slide 7</t>
        </is>
      </c>
      <c r="B350" s="27" t="inlineStr">
        <is>
          <t>No. 343</t>
        </is>
      </c>
      <c r="C350" s="28" t="inlineStr">
        <is>
          <t>原則 1, 原則 19, 原則 20</t>
        </is>
      </c>
      <c r="D350" s="29" t="inlineStr">
        <is>
          <t>Reserved your time for exercise, family, learning. Let things with less important go ( the less the better). OKR. Sacred time</t>
        </is>
      </c>
      <c r="E350" s="30" t="inlineStr">
        <is>
          <t>Reserve non-negotiable blocks of "sacred time" on your calendar for exercise, family, and learning. Let low-priority tasks go; less is often better.</t>
        </is>
      </c>
      <c r="F350" s="31" t="inlineStr">
        <is>
          <t>在行事曆上為運動、家人與自學預留不可妥協的「神聖時間」。果斷捨棄次要雜務，越簡單越有力。</t>
        </is>
      </c>
      <c r="G350" s="32" t="inlineStr">
        <is>
          <t>佇行事曆頂面定著愛留「神聖時間」予運動、厝內人佮讀冊進修，這點絕對毋通退步妥協。果斷放捨次要的雜務，愈簡單愈有氣力。</t>
        </is>
      </c>
      <c r="H350" s="33" t="inlineStr"/>
      <c r="I350" s="29" t="inlineStr"/>
      <c r="J350" s="34" t="inlineStr"/>
      <c r="K350" s="35" t="inlineStr"/>
    </row>
    <row r="351" ht="24" customHeight="1">
      <c r="A351" s="36" t="inlineStr">
        <is>
          <t>Slide 7</t>
        </is>
      </c>
      <c r="B351" s="37" t="inlineStr">
        <is>
          <t>No. 344</t>
        </is>
      </c>
      <c r="C351" s="38" t="inlineStr">
        <is>
          <t>原則 16, 原則 17</t>
        </is>
      </c>
      <c r="D351" s="39" t="inlineStr">
        <is>
          <t>You won’t work in this company till retire. You need to have some backup plan. What is future roadmap for your product and career? Item 328</t>
        </is>
      </c>
      <c r="E351" s="40" t="inlineStr">
        <is>
          <t>Acknowledge that you will not stay at your current company until retirement. Maintain a backup plan, and define the future roadmap for both your products and your career. (Related to Item 328)</t>
        </is>
      </c>
      <c r="F351" s="41" t="inlineStr">
        <is>
          <t>認清現實：你不可能在這家公司工作到退休。隨時準備好備用生存計畫，明確你所負責產品的市場前景與你個人的職涯路線圖。</t>
        </is>
      </c>
      <c r="G351" s="42" t="inlineStr">
        <is>
          <t>看清現實：你無可能佇這間會社做甲退休。身軀邊定著愛備好後路，規劃明朗你負責的產品前景佮家己職涯的路線圖。（對照第328條）</t>
        </is>
      </c>
      <c r="H351" s="43" t="inlineStr"/>
      <c r="I351" s="39" t="inlineStr"/>
      <c r="J351" s="44" t="inlineStr"/>
      <c r="K351" s="45" t="inlineStr"/>
    </row>
    <row r="352" ht="24" customHeight="1">
      <c r="A352" s="26" t="inlineStr">
        <is>
          <t>Slide 7</t>
        </is>
      </c>
      <c r="B352" s="27" t="inlineStr">
        <is>
          <t>No. 345</t>
        </is>
      </c>
      <c r="C352" s="28" t="inlineStr">
        <is>
          <t>原則 20</t>
        </is>
      </c>
      <c r="D352" s="29" t="inlineStr">
        <is>
          <t>Do you have any list for travel, or any activities?</t>
        </is>
      </c>
      <c r="E352" s="30" t="inlineStr">
        <is>
          <t>Maintain a personal bucket list of travel destinations and activities to keep your personal life inspiring and separate from work.</t>
        </is>
      </c>
      <c r="F352" s="31" t="inlineStr">
        <is>
          <t>為自己列一張旅行與想體驗活動的清單，確保生活豐富多彩，不被工作完全綁架。</t>
        </is>
      </c>
      <c r="G352" s="32" t="inlineStr">
        <is>
          <t>替家己列一張出外旅遊佮想欲體驗活動的清單，予日子豐富精彩，毋通規個人予工課縛死死。</t>
        </is>
      </c>
      <c r="H352" s="33" t="inlineStr"/>
      <c r="I352" s="29" t="inlineStr"/>
      <c r="J352" s="34" t="inlineStr"/>
      <c r="K352" s="35" t="inlineStr"/>
    </row>
    <row r="353" ht="24" customHeight="1">
      <c r="A353" s="36" t="inlineStr">
        <is>
          <t>Slide 7</t>
        </is>
      </c>
      <c r="B353" s="37" t="inlineStr">
        <is>
          <t>No. 346</t>
        </is>
      </c>
      <c r="C353" s="38" t="inlineStr">
        <is>
          <t>原則 18</t>
        </is>
      </c>
      <c r="D353" s="39" t="inlineStr">
        <is>
          <t>Prepare an inspiring song list for the downturn and setback.</t>
        </is>
      </c>
      <c r="E353" s="40" t="inlineStr">
        <is>
          <t>Prepare an inspiring playlist of music to boost your mood during career setbacks or downturns.</t>
        </is>
      </c>
      <c r="F353" s="41" t="inlineStr">
        <is>
          <t>準備一份能激勵人心的專屬歌單，在遭遇職場挫折或低潮時用以自我療癒。</t>
        </is>
      </c>
      <c r="G353" s="42" t="inlineStr">
        <is>
          <t>準備一份會當振作人心的專屬歌單，佇職場拄著挫折、行入低潮的時陣，放來療癒心神、重新提振志氣。</t>
        </is>
      </c>
      <c r="H353" s="43" t="inlineStr"/>
      <c r="I353" s="39" t="inlineStr"/>
      <c r="J353" s="44" t="inlineStr"/>
      <c r="K353" s="45" t="inlineStr"/>
    </row>
    <row r="354" ht="24" customHeight="1">
      <c r="A354" s="26" t="inlineStr">
        <is>
          <t>Slide 7</t>
        </is>
      </c>
      <c r="B354" s="27" t="inlineStr">
        <is>
          <t>No. 347</t>
        </is>
      </c>
      <c r="C354" s="28" t="inlineStr">
        <is>
          <t>原則 7, 原則 16</t>
        </is>
      </c>
      <c r="D354" s="29" t="inlineStr">
        <is>
          <t>Always to challenge yourself for being best. Improve a little everyday. Small win</t>
        </is>
      </c>
      <c r="E354" s="30" t="inlineStr">
        <is>
          <t>Strive continuously for excellence by pushing your boundaries. Aim for incremental daily improvements to build momentum through quick wins.</t>
        </is>
      </c>
      <c r="F354" s="31" t="inlineStr">
        <is>
          <t>持續追求卓越，自我挑戰。每天保持微小進步，累積小勝利以形成長期強大的正向循環。</t>
        </is>
      </c>
      <c r="G354" s="32" t="inlineStr">
        <is>
          <t>時時挑戰家己做到上好。逐日進步一屑仔就好，累積「細細贏」的甜頭，日積月累自自然然會出頭天。</t>
        </is>
      </c>
      <c r="H354" s="33" t="inlineStr"/>
      <c r="I354" s="29" t="inlineStr"/>
      <c r="J354" s="34" t="inlineStr"/>
      <c r="K354" s="35" t="inlineStr"/>
    </row>
    <row r="355" ht="24" customHeight="1">
      <c r="A355" s="36" t="inlineStr">
        <is>
          <t>Slide 7</t>
        </is>
      </c>
      <c r="B355" s="37" t="inlineStr">
        <is>
          <t>No. 350</t>
        </is>
      </c>
      <c r="C355" s="38" t="inlineStr">
        <is>
          <t>原則 10</t>
        </is>
      </c>
      <c r="D355" s="39" t="inlineStr">
        <is>
          <t>What’s takeaways for this meeting / discussion?</t>
        </is>
      </c>
      <c r="E355" s="40" t="inlineStr">
        <is>
          <t>Always summarize the key takeaways, action items, and owners at the end of every meeting or discussion.</t>
        </is>
      </c>
      <c r="F355" s="41" t="inlineStr">
        <is>
          <t>開會結束前，務必重申本次會議的關鍵結論（Takeaways）、行動方案與負責人。</t>
        </is>
      </c>
      <c r="G355" s="42" t="inlineStr">
        <is>
          <t>會議結束進前，定著愛閣重申這回的關鍵結論（Takeaways）、後續行動佮是啥人負責挑擔。</t>
        </is>
      </c>
      <c r="H355" s="43" t="inlineStr"/>
      <c r="I355" s="39" t="inlineStr"/>
      <c r="J355" s="44" t="inlineStr"/>
      <c r="K355" s="45" t="inlineStr"/>
    </row>
    <row r="356" ht="24" customHeight="1">
      <c r="A356" s="26" t="inlineStr">
        <is>
          <t>Slide 7</t>
        </is>
      </c>
      <c r="B356" s="27" t="inlineStr">
        <is>
          <t>No. 351</t>
        </is>
      </c>
      <c r="C356" s="28" t="inlineStr">
        <is>
          <t>原則 7</t>
        </is>
      </c>
      <c r="D356" s="29" t="inlineStr">
        <is>
          <t>Pay attention to the anchoring effect when making plans. A certain margin is also required.</t>
        </is>
      </c>
      <c r="E356" s="30" t="inlineStr">
        <is>
          <t>Beware of the anchoring effect when setting schedules or estimates. Always build in a reasonable safety margin.</t>
        </is>
      </c>
      <c r="F356" s="31" t="inlineStr">
        <is>
          <t>制定時程或估算工時時，警惕「錨定效應」（被最初的估計綁死）。務必預留合理的彈性邊際。</t>
        </is>
      </c>
      <c r="G356" s="32" t="inlineStr">
        <is>
          <t>排定時程抑是估算工時的時陣，細膩「定錨效應」（予起頭的估計縛死死）。定著愛預留合理的寬限佮彈性空間。</t>
        </is>
      </c>
      <c r="H356" s="33" t="inlineStr"/>
      <c r="I356" s="29" t="inlineStr"/>
      <c r="J356" s="34" t="inlineStr"/>
      <c r="K356" s="35" t="inlineStr"/>
    </row>
    <row r="357" ht="24" customHeight="1">
      <c r="A357" s="36" t="inlineStr">
        <is>
          <t>Slide 7</t>
        </is>
      </c>
      <c r="B357" s="37" t="inlineStr">
        <is>
          <t>No. 352</t>
        </is>
      </c>
      <c r="C357" s="38" t="inlineStr">
        <is>
          <t>原則 17</t>
        </is>
      </c>
      <c r="D357" s="39" t="inlineStr">
        <is>
          <t>Antifragile, prepare resign letter and update your resume (adding the latest keywords so people hunter can find you.). Understand your power of circle. Call / connect head hunter to see if any opportunities.</t>
        </is>
      </c>
      <c r="E357" s="40" t="inlineStr">
        <is>
          <t>Maintain antifragility: draft a resignation letter and keep your resume updated with the latest industry keywords to attract headhunters. Understand your circle of competence, and maintain contact with recruiters to track market opportunities.</t>
        </is>
      </c>
      <c r="F357" s="41" t="inlineStr">
        <is>
          <t>落實反脆弱思維：寫好一份預備辭職信，並定期更新履歷表（加入最新的業界關鍵字，方便獵頭檢索）。認清自己的能力圈，與獵頭保持定期聯絡以掌握市面上的好機會。</t>
        </is>
      </c>
      <c r="G357" s="42" t="inlineStr">
        <is>
          <t>落實反脆弱（愈挫愈勇）的思維：寫好預備辭職批，並定期更新履歷表（添入最新的業界關鍵字，方便獵頭揣著你）。認清家己的能力圈，佮獵頭保持聯絡，隨時掌握外口市場的好機會。</t>
        </is>
      </c>
      <c r="H357" s="43" t="inlineStr"/>
      <c r="I357" s="39" t="inlineStr"/>
      <c r="J357" s="44" t="inlineStr"/>
      <c r="K357" s="45" t="inlineStr"/>
    </row>
    <row r="358" ht="24" customHeight="1">
      <c r="A358" s="26" t="inlineStr">
        <is>
          <t>Slide 7</t>
        </is>
      </c>
      <c r="B358" s="27" t="inlineStr">
        <is>
          <t>No. 353</t>
        </is>
      </c>
      <c r="C358" s="28" t="inlineStr">
        <is>
          <t>原則 1, 原則 19</t>
        </is>
      </c>
      <c r="D358" s="29" t="inlineStr">
        <is>
          <t>Reserve/book coffee breaks between consecutive meetings. No more than 3 sessions per day.</t>
        </is>
      </c>
      <c r="E358" s="30" t="inlineStr">
        <is>
          <t>Block out buffer times or "coffee breaks" between consecutive meetings to prevent back-to-back scheduling. Aim for no more than 3 intense meeting sessions per day.</t>
        </is>
      </c>
      <c r="F358" s="31" t="inlineStr">
        <is>
          <t>在連續的會議之間，刻意在行事曆上預約「咖啡時間」以作緩衝。每天高強度會議盡量不超過 3 場。</t>
        </is>
      </c>
      <c r="G358" s="32" t="inlineStr">
        <is>
          <t>連紲開會的中間，愛佇行事曆頂面刻意安插「啉咖啡」的空隙歇喘。一工之內粗重傷神的會議，盡量莫超過三場。</t>
        </is>
      </c>
      <c r="H358" s="33" t="inlineStr"/>
      <c r="I358" s="29" t="inlineStr"/>
      <c r="J358" s="34" t="inlineStr"/>
      <c r="K358" s="35" t="inlineStr"/>
    </row>
    <row r="359" ht="24" customHeight="1">
      <c r="A359" s="36" t="inlineStr">
        <is>
          <t>Slide 7</t>
        </is>
      </c>
      <c r="B359" s="37" t="inlineStr">
        <is>
          <t>No. 354</t>
        </is>
      </c>
      <c r="C359" s="38" t="inlineStr">
        <is>
          <t>原則 4, 原則 15</t>
        </is>
      </c>
      <c r="D359" s="39" t="inlineStr">
        <is>
          <t>Spend time on reviewing what you achieved, documentation and what and how you feel. For annual performance, item 331.) every week, month, quarterly and year.</t>
        </is>
      </c>
      <c r="E359" s="40" t="inlineStr">
        <is>
          <t>Dedicate regular time to review your achievements, update documentation, and check in on your mental well-being (weekly, monthly, quarterly, and annually) to prepare for performance reviews. (Related to Item 331)</t>
        </is>
      </c>
      <c r="F359" s="41" t="inlineStr">
        <is>
          <t>定期抽出時間盤點自己的成就、整理知識文檔，並關照自己的心智狀態（每週、每月、每季、每年）。這不僅是為了年度考評做好充足準備，也是一種自我對話。</t>
        </is>
      </c>
      <c r="G359" s="42" t="inlineStr">
        <is>
          <t>定期撥時間盤點家己的成果、整理知識文件，閣照應家己的心神狀態（逐禮拜、逐月、逐季、逐年）。這毋但是替年度考評備好齊全糧草，閣是佮家己心肝底的對話。（對照第331條）</t>
        </is>
      </c>
      <c r="H359" s="43" t="inlineStr"/>
      <c r="I359" s="39" t="inlineStr"/>
      <c r="J359" s="44" t="inlineStr"/>
      <c r="K359" s="45" t="inlineStr"/>
    </row>
    <row r="360" ht="24" customHeight="1">
      <c r="A360" s="26" t="inlineStr">
        <is>
          <t>Slide 7</t>
        </is>
      </c>
      <c r="B360" s="27" t="inlineStr">
        <is>
          <t>No. 355</t>
        </is>
      </c>
      <c r="C360" s="28" t="inlineStr">
        <is>
          <t>原則 5, 原則 6</t>
        </is>
      </c>
      <c r="D360" s="29" t="inlineStr">
        <is>
          <t>CAGR, EBIT, understand financial terms. ITEM 62. YOY, QoQ</t>
        </is>
      </c>
      <c r="E360" s="30" t="inlineStr">
        <is>
          <t>Master core corporate financial metrics and jargon—such as CAGR (Compound Annual Growth Rate), EBIT (Earnings Before Interest and Taxes), YoY (Year-over-Year), and QoQ (Quarter-over-Quarter)—to thoroughly grasp business health.</t>
        </is>
      </c>
      <c r="F360" s="31" t="inlineStr">
        <is>
          <t>精通核心財務術語與指標（如 CAGR 複合年均成長率、EBIT 息稅前利潤、YoY 年增率、QoQ 季增率），方能精準洞察企業經營的全貌。</t>
        </is>
      </c>
      <c r="G360" s="32" t="inlineStr">
        <is>
          <t>定著愛摸熟核心財務術語佮指標（親像 CAGR 複合年均成長率、EBIT 息稅前利潤、YoY 年增率、QoQ 季增率），看會明財務報表，才有法度看透公司經營的好歹全貌。（對照第62條）</t>
        </is>
      </c>
      <c r="H360" s="33" t="inlineStr"/>
      <c r="I360" s="29" t="inlineStr"/>
      <c r="J360" s="34" t="inlineStr"/>
      <c r="K360" s="35" t="inlineStr"/>
    </row>
    <row r="361" ht="24" customHeight="1">
      <c r="A361" s="36" t="inlineStr">
        <is>
          <t>Slide 8</t>
        </is>
      </c>
      <c r="B361" s="37" t="inlineStr">
        <is>
          <t>No. 356</t>
        </is>
      </c>
      <c r="C361" s="38" t="inlineStr">
        <is>
          <t>原則 7</t>
        </is>
      </c>
      <c r="D361" s="39" t="inlineStr">
        <is>
          <t>Don’t be perfect, don’t need to finish thing in one time, the difference between good and good for you. Be patient, step by step.</t>
        </is>
      </c>
      <c r="E361" s="40" t="inlineStr">
        <is>
          <t>Do not strive for instant perfection or try to finish everything at once. Understand the difference between "perfect" and "good enough for the situation." Be patient and move step by step. (Related to Item 7)</t>
        </is>
      </c>
      <c r="F361" s="41" t="inlineStr">
        <is>
          <t>不求一步登天與瞬間完美，也毋須試圖一次完成所有事。理解「完美」與「在此時此境夠用就好」的區別。保持耐心，循序漸進。</t>
        </is>
      </c>
      <c r="G361" s="42" t="inlineStr">
        <is>
          <t>莫想講愛一步登天、一擺就做到十全十美，嘛無需要一擺就共代誌全做煞。愛分予清「完美」佮「這馬夠用就好」的爭差。保持耐性，一步一跤印，沓沓仔行。</t>
        </is>
      </c>
      <c r="H361" s="43" t="inlineStr"/>
      <c r="I361" s="39" t="inlineStr"/>
      <c r="J361" s="44" t="inlineStr"/>
      <c r="K361" s="45" t="inlineStr"/>
    </row>
    <row r="362" ht="24" customHeight="1">
      <c r="A362" s="26" t="inlineStr">
        <is>
          <t>Slide 8</t>
        </is>
      </c>
      <c r="B362" s="27" t="inlineStr">
        <is>
          <t>No. 357</t>
        </is>
      </c>
      <c r="C362" s="28" t="inlineStr">
        <is>
          <t>原則 5, 原則 18</t>
        </is>
      </c>
      <c r="D362" s="29" t="inlineStr">
        <is>
          <t>Care about your instinct, what does it feel and want to tell you? ( however, scientific data talk more)</t>
        </is>
      </c>
      <c r="E362" s="30" t="inlineStr">
        <is>
          <t>Listen to your gut instinct and what it is trying to tell you. However, always prioritize objective, scientific data to guide your final decisions.</t>
        </is>
      </c>
      <c r="F362" s="31" t="inlineStr">
        <is>
          <t>重視你的直覺，傾聽它想傳遞給你的警訊。然而，最終決策仍應以客觀、科學的數據為依歸。</t>
        </is>
      </c>
      <c r="G362" s="32" t="inlineStr">
        <is>
          <t>愛看重家己的直覺，斟酌聽伊想欲共你提醒的警訊。毋過，落尾欲做決斷的時陣，猶原愛憑客觀、科學的數據來做準則。</t>
        </is>
      </c>
      <c r="H362" s="33" t="inlineStr"/>
      <c r="I362" s="29" t="inlineStr"/>
      <c r="J362" s="34" t="inlineStr"/>
      <c r="K362" s="35" t="inlineStr"/>
    </row>
    <row r="363" ht="24" customHeight="1">
      <c r="A363" s="36" t="inlineStr">
        <is>
          <t>Slide 8</t>
        </is>
      </c>
      <c r="B363" s="37" t="inlineStr">
        <is>
          <t>No. 358</t>
        </is>
      </c>
      <c r="C363" s="38" t="inlineStr">
        <is>
          <t>原則 9, 原則 19</t>
        </is>
      </c>
      <c r="D363" s="39" t="inlineStr">
        <is>
          <t>Go around when tired in front of laptop, find someone you feel he/she is stressful and encourage him/her.</t>
        </is>
      </c>
      <c r="E363" s="40" t="inlineStr">
        <is>
          <t>When feeling fatigued sitting in front of your laptop, stand up and walk around. Find a colleague who seems stressed and offer a word of encouragement; helping others boosts your own mood.</t>
        </is>
      </c>
      <c r="F363" s="41" t="inlineStr">
        <is>
          <t>在電腦前坐累了，就起身走走。若看到顯得焦慮的同事，主動給予鼓勵，關懷他人也能為自己注入正能量。</t>
        </is>
      </c>
      <c r="G363" s="42" t="inlineStr">
        <is>
          <t>佇電腦頭前坐甲忝矣，就起來四界行行咧。若是看著同仁神情煩惱、壓力大，主動去共伊加油打氣；替人送暖，家己心頭嘛會綴咧輕鬆有氣力。</t>
        </is>
      </c>
      <c r="H363" s="43" t="inlineStr"/>
      <c r="I363" s="39" t="inlineStr"/>
      <c r="J363" s="44" t="inlineStr"/>
      <c r="K363" s="45" t="inlineStr"/>
    </row>
    <row r="364" ht="24" customHeight="1">
      <c r="A364" s="26" t="inlineStr">
        <is>
          <t>Slide 8</t>
        </is>
      </c>
      <c r="B364" s="27" t="inlineStr">
        <is>
          <t>No. 359</t>
        </is>
      </c>
      <c r="C364" s="28" t="inlineStr">
        <is>
          <t>原則 15, 原則 16</t>
        </is>
      </c>
      <c r="D364" s="29" t="inlineStr">
        <is>
          <t>Be proactive when no one realize what you did or any contribution, highlights them autonomously, they may value you again or learn from you, in the end you will earn respect. what did you accumulate?</t>
        </is>
      </c>
      <c r="E364" s="30" t="inlineStr">
        <is>
          <t>When your hard work or key contributions go unnoticed, take the initiative to highlight them professionally. This helps management re-evaluate your impact, enables peers to learn from your work, and ultimately builds your professional authority. Always reflect on what valuable skills and assets you have accumulated.</t>
        </is>
      </c>
      <c r="F364" s="31" t="inlineStr">
        <is>
          <t>當自身的貢獻與付出未被看見時，應主動、專業地展現成果。這不僅能讓主管重新評估你的價值，也能促進同仁借鏡學習，最終為自己贏得專業尊嚴。同時，請經常反思自己究竟累積了哪些關鍵資產。</t>
        </is>
      </c>
      <c r="G364" s="32" t="inlineStr">
        <is>
          <t>若家己的付出佮功勞無人看見，愛主動、專業展現成果，予主管重新看重你的價值、予同仁有通借鏡學習，落尾才會當贏得專業尊重。定定愛反思：家己到底累積啥物紮會走的真本事？</t>
        </is>
      </c>
      <c r="H364" s="33" t="inlineStr"/>
      <c r="I364" s="29" t="inlineStr"/>
      <c r="J364" s="34" t="inlineStr"/>
      <c r="K364" s="35" t="inlineStr"/>
    </row>
    <row r="365" ht="24" customHeight="1">
      <c r="A365" s="36" t="inlineStr">
        <is>
          <t>Slide 8</t>
        </is>
      </c>
      <c r="B365" s="37" t="inlineStr">
        <is>
          <t>No. 360</t>
        </is>
      </c>
      <c r="C365" s="38" t="inlineStr">
        <is>
          <t>原則 3</t>
        </is>
      </c>
      <c r="D365" s="39" t="inlineStr">
        <is>
          <t>Make a good report template for regular meeting and certain topic. ( EX: 8D, one page…, yield, tarshiro)</t>
        </is>
      </c>
      <c r="E365" s="40" t="inlineStr">
        <is>
          <t>Standardize and refine reporting templates for routine meetings and specialized analysis (e.g., 8D problem-solving reports, one-page summaries, yield analysis, Tashiro charts) to boost communication efficiency.</t>
        </is>
      </c>
      <c r="F365" s="41" t="inlineStr">
        <is>
          <t>建立並優化例行會議與特定主題的標準化報告範本（如 8D 異常改善報告、單頁摘要、良率分析報告等），以大幅提昇組織溝通效率。</t>
        </is>
      </c>
      <c r="G365" s="42" t="inlineStr">
        <is>
          <t>為例行會議佮專門主題建立好用的模組範本（親像 8D 改善報告、單頁摘要、良率分析等）。格式設好勢，做代誌省氣力，報告清楚閣專業。</t>
        </is>
      </c>
      <c r="H365" s="43" t="inlineStr"/>
      <c r="I365" s="39" t="inlineStr"/>
      <c r="J365" s="44" t="inlineStr"/>
      <c r="K365" s="45" t="inlineStr"/>
    </row>
    <row r="366" ht="24" customHeight="1">
      <c r="A366" s="26" t="inlineStr">
        <is>
          <t>Slide 8</t>
        </is>
      </c>
      <c r="B366" s="27" t="inlineStr">
        <is>
          <t>No. 361</t>
        </is>
      </c>
      <c r="C366" s="28" t="inlineStr">
        <is>
          <t>原則 14</t>
        </is>
      </c>
      <c r="D366" s="29" t="inlineStr">
        <is>
          <t>You don't need to comment for everything. Keep silence. Keep mouth shunt. Separate fields between work and life. it is not easy. No reply is a reply.</t>
        </is>
      </c>
      <c r="E366" s="30" t="inlineStr">
        <is>
          <t>Resist the urge to comment on every issue. Restraint and silence can be powerful. Maintain clear boundaries between your professional and personal life—though challenging, remember that 'no response is often a response in itself.'</t>
        </is>
      </c>
      <c r="F366" s="31" t="inlineStr">
        <is>
          <t>無需對所有事情發表意見，學會適時保持沉默。劃清工作與生活的界線雖非易事，但切記「不予回應本身就是一種明確的姿態」。</t>
        </is>
      </c>
      <c r="G366" s="32" t="inlineStr">
        <is>
          <t>代誌無需要項項出聲插喙，適當時陣保持恬靜才是真功夫。工課佮生活分予清清楚楚雖罔無簡單，毋過愛記持：「無應無答，往往就是一種上堅定、清楚的表態。」</t>
        </is>
      </c>
      <c r="H366" s="33" t="inlineStr"/>
      <c r="I366" s="29" t="inlineStr"/>
      <c r="J366" s="34" t="inlineStr"/>
      <c r="K366" s="35" t="inlineStr"/>
    </row>
    <row r="367" ht="24" customHeight="1">
      <c r="A367" s="36" t="inlineStr">
        <is>
          <t>Slide 8</t>
        </is>
      </c>
      <c r="B367" s="37" t="inlineStr">
        <is>
          <t>No. 362</t>
        </is>
      </c>
      <c r="C367" s="38" t="inlineStr">
        <is>
          <t>原則 1, 原則 8</t>
        </is>
      </c>
      <c r="D367" s="39" t="inlineStr">
        <is>
          <t>Focus on 3 key tasks per day. Don’t exceed 3 items ( major).</t>
        </is>
      </c>
      <c r="E367" s="40" t="inlineStr">
        <is>
          <t>Focus on 3 key tasks per day. Avoid trying to handle more than 3 major objectives at once. (Related to Item 52)</t>
        </is>
      </c>
      <c r="F367" s="41" t="inlineStr">
        <is>
          <t>每天聚焦於 3 項關鍵任務。重要事務一天不超過 3 件，以確保執行質量。</t>
        </is>
      </c>
      <c r="G367" s="42" t="inlineStr">
        <is>
          <t>一工專心顧好 3 項上要緊的關鍵工課就好，重要代誌一日莫超過 3 項。貪濟嚼毋爛，鎖定焦點，做出來的成果才有品質。</t>
        </is>
      </c>
      <c r="H367" s="43" t="inlineStr"/>
      <c r="I367" s="39" t="inlineStr"/>
      <c r="J367" s="44" t="inlineStr"/>
      <c r="K367" s="45" t="inlineStr"/>
    </row>
    <row r="368" ht="24" customHeight="1">
      <c r="A368" s="26" t="inlineStr">
        <is>
          <t>Slide 8</t>
        </is>
      </c>
      <c r="B368" s="27" t="inlineStr">
        <is>
          <t>No. 363</t>
        </is>
      </c>
      <c r="C368" s="28" t="inlineStr">
        <is>
          <t>原則 7</t>
        </is>
      </c>
      <c r="D368" s="29" t="inlineStr">
        <is>
          <t>Don’t need to finish task in one time. Be patient. ( breakdown), Long term mindset.</t>
        </is>
      </c>
      <c r="E368" s="30" t="inlineStr">
        <is>
          <t>Do not feel pressured to complete massive tasks in a single session. Break them down, be patient, and adopt a long-term mindset. (Related to Item 7)</t>
        </is>
      </c>
      <c r="F368" s="31" t="inlineStr">
        <is>
          <t>無須急著一次把龐大的工作啃完。拆解成步驟、維持耐心，抱持長期主義心態。</t>
        </is>
      </c>
      <c r="G368" s="32" t="inlineStr">
        <is>
          <t>大件工課毋免急欲一擺做煞。拆做一步一步、保持耐性，用長遠的眼光沓沓仔推進，才袂一開始就共氣力用盡。</t>
        </is>
      </c>
      <c r="H368" s="33" t="inlineStr"/>
      <c r="I368" s="29" t="inlineStr"/>
      <c r="J368" s="34" t="inlineStr"/>
      <c r="K368" s="35" t="inlineStr"/>
    </row>
    <row r="369" ht="24" customHeight="1">
      <c r="A369" s="36" t="inlineStr">
        <is>
          <t>Slide 8</t>
        </is>
      </c>
      <c r="B369" s="37" t="inlineStr">
        <is>
          <t>No. 364</t>
        </is>
      </c>
      <c r="C369" s="38" t="inlineStr">
        <is>
          <t>原則 8, 原則 16</t>
        </is>
      </c>
      <c r="D369" s="39" t="inlineStr">
        <is>
          <t>Do high value-added work. Separate high/low value job, but don’t forget basic knowledge. Rep by rep.</t>
        </is>
      </c>
      <c r="E369" s="40" t="inlineStr">
        <is>
          <t>Focus your core energy on high-value-added tasks. Clearly differentiate between high- and low-value activities, while consistently practicing fundamental skills step-by-step.</t>
        </is>
      </c>
      <c r="F369" s="41" t="inlineStr">
        <is>
          <t>將主力時間挹注於高附加價值的業務上。嚴格區分高低價值工作，但絕不可輕忽基礎功夫，透過一次次的踏實執行奠定根基。</t>
        </is>
      </c>
      <c r="G369" s="42" t="inlineStr">
        <is>
          <t>共主力心神囥佇高附加價值的工課頂面，分清楚重頭戲佮低價值的雜差；毋過底層的基本功夫千萬袂使放掉，一擺一擺踏實練，共根基扎予穩。</t>
        </is>
      </c>
      <c r="H369" s="43" t="inlineStr"/>
      <c r="I369" s="39" t="inlineStr"/>
      <c r="J369" s="44" t="inlineStr"/>
      <c r="K369" s="45" t="inlineStr"/>
    </row>
    <row r="370" ht="24" customHeight="1">
      <c r="A370" s="26" t="inlineStr">
        <is>
          <t>Slide 8</t>
        </is>
      </c>
      <c r="B370" s="27" t="inlineStr">
        <is>
          <t>No. 365</t>
        </is>
      </c>
      <c r="C370" s="28" t="inlineStr">
        <is>
          <t>原則 5</t>
        </is>
      </c>
      <c r="D370" s="29" t="inlineStr">
        <is>
          <t>Taking statistics, it may cheat by percentage, absolute number, and base number, unit fallacy. What’s reference</t>
        </is>
      </c>
      <c r="E370" s="30" t="inlineStr">
        <is>
          <t>Exercise critical thinking when interpreting statistical data: percentages, absolute numbers, base values, and unit fallacies can easily mislead. Always ask: 'What is the benchmark or reference standard?'</t>
        </is>
      </c>
      <c r="F370" s="31" t="inlineStr">
        <is>
          <t>解讀統計數據時須保持審慎批判思維：百分比、絕對值、基數與單位陷阱均可能造成誤導。務必追問：「對照基準與參考標的是什麼？」</t>
        </is>
      </c>
      <c r="G370" s="32" t="inlineStr">
        <is>
          <t>看統計數字愛動腦筋，百分比、絕對數、基數佮單位陷阱定定會騙人。看著數據愛追問到底：「這是提啥物做基準？佮啥物人抑啥物條件來比？」</t>
        </is>
      </c>
      <c r="H370" s="33" t="inlineStr"/>
      <c r="I370" s="29" t="inlineStr"/>
      <c r="J370" s="34" t="inlineStr"/>
      <c r="K370" s="35" t="inlineStr"/>
    </row>
    <row r="371" ht="24" customHeight="1">
      <c r="A371" s="36" t="inlineStr">
        <is>
          <t>Slide 8</t>
        </is>
      </c>
      <c r="B371" s="37" t="inlineStr">
        <is>
          <t>No. 366</t>
        </is>
      </c>
      <c r="C371" s="38" t="inlineStr">
        <is>
          <t>原則 18</t>
        </is>
      </c>
      <c r="D371" s="39" t="inlineStr">
        <is>
          <t>Improve yourself while you are waiting for things ( environment) to improve. But not squeeze too much</t>
        </is>
      </c>
      <c r="E371" s="40" t="inlineStr">
        <is>
          <t>Focus on self-improvement while waiting for external conditions or the work environment to get better. However, manage your pace to avoid burning yourself out.</t>
        </is>
      </c>
      <c r="F371" s="41" t="inlineStr">
        <is>
          <t>在靜待外部大環境或職場環境改善的同時，專注於自我提升。但要注意節奏，別把自己逼得太緊。</t>
        </is>
      </c>
      <c r="G371" s="42" t="inlineStr">
        <is>
          <t>佇咧等待大環境抑是局勢轉好的時陣，專心充實家己的底氣；毋過步伐節奏愛撙節好，莫共家己逼甲過頭破病。</t>
        </is>
      </c>
      <c r="H371" s="43" t="inlineStr"/>
      <c r="I371" s="39" t="inlineStr"/>
      <c r="J371" s="44" t="inlineStr"/>
      <c r="K371" s="45" t="inlineStr"/>
    </row>
    <row r="372" ht="24" customHeight="1">
      <c r="A372" s="26" t="inlineStr">
        <is>
          <t>Slide 8</t>
        </is>
      </c>
      <c r="B372" s="27" t="inlineStr">
        <is>
          <t>No. 367</t>
        </is>
      </c>
      <c r="C372" s="28" t="inlineStr">
        <is>
          <t>原則 7</t>
        </is>
      </c>
      <c r="D372" s="29" t="inlineStr">
        <is>
          <t>Perfection may kill you in some cases. Small step everyday achieve big. item 356.</t>
        </is>
      </c>
      <c r="E372" s="30" t="inlineStr">
        <is>
          <t>Perfectionism can be paralyzing. Focus on making small, consistent steps daily to achieve massive long-term results. (Related to Item 356)</t>
        </is>
      </c>
      <c r="F372" s="31" t="inlineStr">
        <is>
          <t>過度追求完美有時會拖垮你。每天進步一點點，持續的小步伐最終能累積成巨大的成就。</t>
        </is>
      </c>
      <c r="G372" s="32" t="inlineStr">
        <is>
          <t>傷過追求十全十美，有時陣顛倒會共家己磧死。逐工進步一寡仔，一步一步踏實行，日積月累落尾就會變做大成就。（對照第 356 條）</t>
        </is>
      </c>
      <c r="H372" s="33" t="inlineStr"/>
      <c r="I372" s="29" t="inlineStr"/>
      <c r="J372" s="34" t="inlineStr"/>
      <c r="K372" s="35" t="inlineStr"/>
    </row>
    <row r="373" ht="24" customHeight="1">
      <c r="A373" s="36" t="inlineStr">
        <is>
          <t>Slide 8</t>
        </is>
      </c>
      <c r="B373" s="37" t="inlineStr">
        <is>
          <t>No. 368</t>
        </is>
      </c>
      <c r="C373" s="38" t="inlineStr">
        <is>
          <t>原則 3, 原則 4</t>
        </is>
      </c>
      <c r="D373" s="39" t="inlineStr">
        <is>
          <t>Digest big information / date in short period. ( need practices and time), use new technology tool.</t>
        </is>
      </c>
      <c r="E373" s="40" t="inlineStr">
        <is>
          <t>Train yourself to digest massive amounts of information and data in a short time. This skill requires practice and time; utilize modern digital tools to assist.</t>
        </is>
      </c>
      <c r="F373" s="41" t="inlineStr">
        <is>
          <t>訓練自己在極短時間內消化吸收海量資訊與數據的能力。這需要長期練習，並積極善用最新的數位工具輔助。</t>
        </is>
      </c>
      <c r="G373" s="42" t="inlineStr">
        <is>
          <t>愛磨練家己佇短時間內消化海量資訊佮數據的本領。這愛經過長時間練習，閣愛善用上新的數位科技工具來鬥相共。</t>
        </is>
      </c>
      <c r="H373" s="43" t="inlineStr"/>
      <c r="I373" s="39" t="inlineStr"/>
      <c r="J373" s="44" t="inlineStr"/>
      <c r="K373" s="45" t="inlineStr"/>
    </row>
    <row r="374" ht="24" customHeight="1">
      <c r="A374" s="26" t="inlineStr">
        <is>
          <t>Slide 8</t>
        </is>
      </c>
      <c r="B374" s="27" t="inlineStr">
        <is>
          <t>No. 369</t>
        </is>
      </c>
      <c r="C374" s="28" t="inlineStr">
        <is>
          <t>原則 18</t>
        </is>
      </c>
      <c r="D374" s="29" t="inlineStr">
        <is>
          <t>Don’t over think too much. Just do and execute it and see what happened and adjust.</t>
        </is>
      </c>
      <c r="E374" s="30" t="inlineStr">
        <is>
          <t>Avoid overthinking. Take action, execute, observe the results, and adjust your approach dynamically.</t>
        </is>
      </c>
      <c r="F374" s="31" t="inlineStr">
        <is>
          <t>不要過度空想。動手做、去執行，觀察反饋後隨時動態調整。</t>
        </is>
      </c>
      <c r="G374" s="32" t="inlineStr">
        <is>
          <t>莫佇遐東想西想、傷過空思夢想。動手落去執行，看反應佮結果按怎，隨時照局勢來調整應變。</t>
        </is>
      </c>
      <c r="H374" s="33" t="inlineStr"/>
      <c r="I374" s="29" t="inlineStr"/>
      <c r="J374" s="34" t="inlineStr"/>
      <c r="K374" s="35" t="inlineStr"/>
    </row>
    <row r="375" ht="24" customHeight="1">
      <c r="A375" s="36" t="inlineStr">
        <is>
          <t>Slide 8</t>
        </is>
      </c>
      <c r="B375" s="37" t="inlineStr">
        <is>
          <t>No. 370</t>
        </is>
      </c>
      <c r="C375" s="38" t="inlineStr">
        <is>
          <t>原則 6, 原則 18</t>
        </is>
      </c>
      <c r="D375" s="39" t="inlineStr">
        <is>
          <t>PDCA, finish cycle. Accept uncertainty, make sure your mind get stronger day by day, it is a long journey.</t>
        </is>
      </c>
      <c r="E375" s="40" t="inlineStr">
        <is>
          <t>Complete the PDCA (Plan-Do-Check-Act) cycle. Accept uncertainty as a constant, and focus on building a stronger mindset day by day on this long journey.</t>
        </is>
      </c>
      <c r="F375" s="41" t="inlineStr">
        <is>
          <t>落實 PDCA（計畫-執行-查核-行動）的閉環管理。擁抱不確定性，在這條漫長的職場馬拉松中，讓自己的內心一天比一天強大。</t>
        </is>
      </c>
      <c r="G375" s="42" t="inlineStr">
        <is>
          <t>徹底落實 PDCA（規劃-執行-查核-處置）的完整循環。平常心面對變數佮未知，佇這條長長的職場路途頂高，予家己的心肝一日比一日閣較堅強。</t>
        </is>
      </c>
      <c r="H375" s="43" t="inlineStr"/>
      <c r="I375" s="39" t="inlineStr"/>
      <c r="J375" s="44" t="inlineStr"/>
      <c r="K375" s="45" t="inlineStr"/>
    </row>
    <row r="376" ht="24" customHeight="1">
      <c r="A376" s="26" t="inlineStr">
        <is>
          <t>Slide 8</t>
        </is>
      </c>
      <c r="B376" s="27" t="inlineStr">
        <is>
          <t>No. 371</t>
        </is>
      </c>
      <c r="C376" s="28" t="inlineStr">
        <is>
          <t>原則 18</t>
        </is>
      </c>
      <c r="D376" s="29" t="inlineStr">
        <is>
          <t>Don’t overlook every small step you walk. Be consistent.</t>
        </is>
      </c>
      <c r="E376" s="30" t="inlineStr">
        <is>
          <t>Never underestimate the value of small steps. Consistency is the key to compound progress.</t>
        </is>
      </c>
      <c r="F376" s="31" t="inlineStr">
        <is>
          <t>不要輕視你跨出的每一個小腳步。持之以恆的規律累積是巨大複利的前提。</t>
        </is>
      </c>
      <c r="G376" s="32" t="inlineStr">
        <is>
          <t>莫看輕家己踏出來的每一小步。規律行落去、持之以恆，時間久了就會滾出龐大的利潤佮回饋。</t>
        </is>
      </c>
      <c r="H376" s="33" t="inlineStr"/>
      <c r="I376" s="29" t="inlineStr"/>
      <c r="J376" s="34" t="inlineStr"/>
      <c r="K376" s="35" t="inlineStr"/>
    </row>
    <row r="377" ht="24" customHeight="1">
      <c r="A377" s="36" t="inlineStr">
        <is>
          <t>Slide 8</t>
        </is>
      </c>
      <c r="B377" s="37" t="inlineStr">
        <is>
          <t>No. 372</t>
        </is>
      </c>
      <c r="C377" s="38" t="inlineStr">
        <is>
          <t>原則 9, 原則 13</t>
        </is>
      </c>
      <c r="D377" s="39" t="inlineStr">
        <is>
          <t>A simple talks may ease some tension situation. Like talking weathers, sports. Holiday events</t>
        </is>
      </c>
      <c r="E377" s="40" t="inlineStr">
        <is>
          <t>Light small talk on neutral topics—such as the weather, sports, or upcoming holiday plans—can effectively de-escalate high-tension situations and build rapport.</t>
        </is>
      </c>
      <c r="F377" s="41" t="inlineStr">
        <is>
          <t>適時開啟閒聊（如天氣、體育賽事、節慶計畫等）能有效緩解緊張氛圍，迅速破冰並建立良好人際關係。</t>
        </is>
      </c>
      <c r="G377" s="42" t="inlineStr">
        <is>
          <t>氣氛若傷繃，開講兩句輕鬆的閒仔話（講天時、講運動、節日安排），會當破冰化解緊繃，人情做會開，代誌就好參詳交流。</t>
        </is>
      </c>
      <c r="H377" s="43" t="inlineStr"/>
      <c r="I377" s="39" t="inlineStr"/>
      <c r="J377" s="44" t="inlineStr"/>
      <c r="K377" s="45" t="inlineStr"/>
    </row>
    <row r="378" ht="24" customHeight="1">
      <c r="A378" s="26" t="inlineStr">
        <is>
          <t>Slide 8</t>
        </is>
      </c>
      <c r="B378" s="27" t="inlineStr">
        <is>
          <t>No. 373</t>
        </is>
      </c>
      <c r="C378" s="28" t="inlineStr">
        <is>
          <t>原則 18</t>
        </is>
      </c>
      <c r="D378" s="29" t="inlineStr">
        <is>
          <t>Make fun for your job. Find new things. To grow your mind. Resilance</t>
        </is>
      </c>
      <c r="E378" s="30" t="inlineStr">
        <is>
          <t>Inject passion and fun into your routine work by proactively discovering new learning points. Nurture a growth mindset to cultivate psychological resilience.</t>
        </is>
      </c>
      <c r="F378" s="31" t="inlineStr">
        <is>
          <t>在日常工作中尋找樂趣與新意，積極汲取新知以提升認知格局，從而培養強大的心理韌性。</t>
        </is>
      </c>
      <c r="G378" s="32" t="inlineStr">
        <is>
          <t>佇例行公事內底揣新意佮趣味，定定充實新見解來開闊眼界，自然會當磨出拍袂倒、壓袂扁的心靈韌性。</t>
        </is>
      </c>
      <c r="H378" s="33" t="inlineStr"/>
      <c r="I378" s="29" t="inlineStr"/>
      <c r="J378" s="34" t="inlineStr"/>
      <c r="K378" s="35" t="inlineStr"/>
    </row>
    <row r="379" ht="24" customHeight="1">
      <c r="A379" s="36" t="inlineStr">
        <is>
          <t>Slide 8</t>
        </is>
      </c>
      <c r="B379" s="37" t="inlineStr">
        <is>
          <t>No. 374</t>
        </is>
      </c>
      <c r="C379" s="38" t="inlineStr">
        <is>
          <t>原則 7</t>
        </is>
      </c>
      <c r="D379" s="39" t="inlineStr">
        <is>
          <t>Set a one-minute goal. ( MVP) P380</t>
        </is>
      </c>
      <c r="E379" s="40" t="inlineStr">
        <is>
          <t>Establish concise 'one-minute goals'—adopting a Minimum Viable Product (MVP) approach—to spark immediate execution without overthinking.</t>
        </is>
      </c>
      <c r="F379" s="41" t="inlineStr">
        <is>
          <t>設定簡潔明確的「一分鐘目標」，運用最小可行性產品（MVP）理念迅速起步，化想法為行動。</t>
        </is>
      </c>
      <c r="G379" s="42" t="inlineStr">
        <is>
          <t>設一个簡單清爽的「一分鐘目標」，用 MVP 最小可行架構先做看覓，莫拖沙，隨動手落去做，化想法做行動。（對照第 380 條）</t>
        </is>
      </c>
      <c r="H379" s="43" t="inlineStr"/>
      <c r="I379" s="39" t="inlineStr"/>
      <c r="J379" s="44" t="inlineStr"/>
      <c r="K379" s="45" t="inlineStr"/>
    </row>
    <row r="380" ht="24" customHeight="1">
      <c r="A380" s="26" t="inlineStr">
        <is>
          <t>Slide 8</t>
        </is>
      </c>
      <c r="B380" s="27" t="inlineStr">
        <is>
          <t>No. 375</t>
        </is>
      </c>
      <c r="C380" s="28" t="inlineStr">
        <is>
          <t>原則 7</t>
        </is>
      </c>
      <c r="D380" s="29" t="inlineStr">
        <is>
          <t>Spend time on your goal and spend more time on execution.</t>
        </is>
      </c>
      <c r="E380" s="30" t="inlineStr">
        <is>
          <t>Keep your eyes on your long-term goals, but spend the majority of your time on relentless, daily execution.</t>
        </is>
      </c>
      <c r="F380" s="31" t="inlineStr">
        <is>
          <t>將目標了然於心，但將大部分精力花在實打實的日常執行上。</t>
        </is>
      </c>
      <c r="G380" s="32" t="inlineStr">
        <is>
          <t>大目標心內愛清清楚楚，毋過大半的時間佮心神，愛真正提來用佇踏實的每日執行頂高。</t>
        </is>
      </c>
      <c r="H380" s="33" t="inlineStr"/>
      <c r="I380" s="29" t="inlineStr"/>
      <c r="J380" s="34" t="inlineStr"/>
      <c r="K380" s="35" t="inlineStr"/>
    </row>
    <row r="381" ht="24" customHeight="1">
      <c r="A381" s="36" t="inlineStr">
        <is>
          <t>Slide 8</t>
        </is>
      </c>
      <c r="B381" s="37" t="inlineStr">
        <is>
          <t>No. 376</t>
        </is>
      </c>
      <c r="C381" s="38" t="inlineStr">
        <is>
          <t>原則 6, 原則 11</t>
        </is>
      </c>
      <c r="D381" s="39" t="inlineStr">
        <is>
          <t>Stop telling people more than they need to know. P457</t>
        </is>
      </c>
      <c r="E381" s="40" t="inlineStr">
        <is>
          <t>Practice information restraint: avoid sharing details beyond what is strictly necessary for the audience and objective.</t>
        </is>
      </c>
      <c r="F381" s="41" t="inlineStr">
        <is>
          <t>學會資訊節制，切勿透露超出對方所需知悉範圍之外的冗餘細節。</t>
        </is>
      </c>
      <c r="G381" s="42" t="inlineStr">
        <is>
          <t>開喙講話愛知輕重節制，對方無需要知影的冗雜細節，就莫講傷濟，話留三分才袂招惹麻煩。（對照第 457 條）</t>
        </is>
      </c>
      <c r="H381" s="43" t="inlineStr"/>
      <c r="I381" s="39" t="inlineStr"/>
      <c r="J381" s="44" t="inlineStr"/>
      <c r="K381" s="45" t="inlineStr"/>
    </row>
    <row r="382" ht="24" customHeight="1">
      <c r="A382" s="26" t="inlineStr">
        <is>
          <t>Slide 8</t>
        </is>
      </c>
      <c r="B382" s="27" t="inlineStr">
        <is>
          <t>No. 377</t>
        </is>
      </c>
      <c r="C382" s="28" t="inlineStr">
        <is>
          <t>原則 2</t>
        </is>
      </c>
      <c r="D382" s="29">
        <f>&gt; don't reply email after 3:00 PM if it is not necessary. spend time on real output, learn new things/growth, documentation...etc. habit, positive words,=&gt; just fine....just good.</f>
        <v/>
      </c>
      <c r="E382" s="30" t="inlineStr">
        <is>
          <t>Unless urgent, avoid replying to non-critical emails after 3:00 PM. Instead, dedicate late afternoons to high-impact outputs, documentation, and skill acquisition. Build positive daily habits and maintain an optimistic mindset (e.g., framing outcomes as 'just fine' or 'good progress').</t>
        </is>
      </c>
      <c r="F382" s="31" t="inlineStr">
        <is>
          <t>非必要時，過午後三點應減少回覆非緊急郵件，將寶貴時間投入於實質產出、文件歸檔與自我進修。培養良好的正向習慣與心態（如以「挺好、順利」來積極看待成果）。</t>
        </is>
      </c>
      <c r="G382" s="32" t="inlineStr">
        <is>
          <t>若無火燒罟寮的急事，下晡三點了後莫一直回電郵。共光陰提去做真正有產出的好代誌、整理檔案抑是進修。養成好習慣，定定用正面的話互相鼓勵，心頭自在就真好。</t>
        </is>
      </c>
      <c r="H382" s="33" t="inlineStr"/>
      <c r="I382" s="29" t="inlineStr"/>
      <c r="J382" s="34" t="inlineStr"/>
      <c r="K382" s="35" t="inlineStr"/>
    </row>
    <row r="383" ht="24" customHeight="1">
      <c r="A383" s="36" t="inlineStr">
        <is>
          <t>Slide 8</t>
        </is>
      </c>
      <c r="B383" s="37" t="inlineStr">
        <is>
          <t>No. 378</t>
        </is>
      </c>
      <c r="C383" s="38" t="inlineStr">
        <is>
          <t>原則 9, 原則 11</t>
        </is>
      </c>
      <c r="D383" s="39" t="inlineStr">
        <is>
          <t>I am driving this activity with low priority in my daily to do list. Hope to get is done by end of September. Could you please let me know more background of your question, any need to change my to do list priority. Way to request.</t>
        </is>
      </c>
      <c r="E383" s="40" t="inlineStr">
        <is>
          <t>Use diplomatic phrasing for priority negotiation: "I am currently tracking this task with lower priority on my backlog, aiming for completion by late September. Could you share more background on this request so I can evaluate if we need to adjust priorities?"</t>
        </is>
      </c>
      <c r="F383" s="41" t="inlineStr">
        <is>
          <t>優雅談判優先順序話術：「我目前將此項任務排在待辦清單中較低優先級，預計在九月底前完成。能否請您提供更多背景資訊，以便我評估是否需要調整目前的任務優先順序？」</t>
        </is>
      </c>
      <c r="G383" s="42" t="inlineStr">
        <is>
          <t>應對優先順序的體面講法：「這項任務我目前排佇排程內底較後壁的位，預計九月底前做煞。敢會當請你多補充一寡背景資訊，予我評估敢有需要調動先後次序？」</t>
        </is>
      </c>
      <c r="H383" s="43" t="inlineStr"/>
      <c r="I383" s="39" t="inlineStr"/>
      <c r="J383" s="44" t="inlineStr"/>
      <c r="K383" s="45" t="inlineStr"/>
    </row>
    <row r="384" ht="24" customHeight="1">
      <c r="A384" s="26" t="inlineStr">
        <is>
          <t>Slide 8</t>
        </is>
      </c>
      <c r="B384" s="27" t="inlineStr">
        <is>
          <t>No. 379</t>
        </is>
      </c>
      <c r="C384" s="28" t="inlineStr">
        <is>
          <t>原則 17</t>
        </is>
      </c>
      <c r="D384" s="29" t="inlineStr">
        <is>
          <t>always ready to leave Your current position. And learn a survival skill to work anywhere. Always pay you first. The abilities you can take away.</t>
        </is>
      </c>
      <c r="E384" s="30" t="inlineStr">
        <is>
          <t>Always maintain career mobility by being ready to change roles. Focus on mastering portable, core professional skills that guarantee your value anywhere, and invest in yourself first.</t>
        </is>
      </c>
      <c r="F384" s="31" t="inlineStr">
        <is>
          <t>隨時保持隨時能離職轉身的實力。專注於鍛造帶得走的通用核心專業技能，確保無論身在何處都能獨立立足；投資自己永遠是第一優先。</t>
        </is>
      </c>
      <c r="G384" s="32" t="inlineStr">
        <is>
          <t>時時刻刻做足隨時會當離職轉身的底氣。愛練就行到佗位攏有法度靠伊食飯的真功夫；共時間佮心力投資佇家己紮會走的本事頂高，永遠排第一。</t>
        </is>
      </c>
      <c r="H384" s="33" t="inlineStr"/>
      <c r="I384" s="29" t="inlineStr"/>
      <c r="J384" s="34" t="inlineStr"/>
      <c r="K384" s="35" t="inlineStr"/>
    </row>
    <row r="385" ht="24" customHeight="1">
      <c r="A385" s="36" t="inlineStr">
        <is>
          <t>Slide 8</t>
        </is>
      </c>
      <c r="B385" s="37" t="inlineStr">
        <is>
          <t>No. 380</t>
        </is>
      </c>
      <c r="C385" s="38" t="inlineStr">
        <is>
          <t>原則 19, 原則 20</t>
        </is>
      </c>
      <c r="D385" s="39" t="inlineStr">
        <is>
          <t>Prepare 1 min actions. As part of sense of ritual.Deep breath.</t>
        </is>
      </c>
      <c r="E385" s="40" t="inlineStr">
        <is>
          <t>Design 1-minute warm-up rituals—such as taking a deep breath—to create a sense of transition and focus before launching into key tasks.</t>
        </is>
      </c>
      <c r="F385" s="41" t="inlineStr">
        <is>
          <t>建立一分鐘儀式感動作（例如深呼吸），為轉化工作狀態與高度專注打造良好的開端。</t>
        </is>
      </c>
      <c r="G385" s="42" t="inlineStr">
        <is>
          <t>替家己安排一个一分鐘的「儀式」動作（親像深呼吸），安定心神、收煞雜念，順暢切換到專注做代誌的境界。</t>
        </is>
      </c>
      <c r="H385" s="43" t="inlineStr"/>
      <c r="I385" s="39" t="inlineStr"/>
      <c r="J385" s="44" t="inlineStr"/>
      <c r="K385" s="45" t="inlineStr"/>
    </row>
    <row r="386" ht="24" customHeight="1">
      <c r="A386" s="26" t="inlineStr">
        <is>
          <t>Slide 8</t>
        </is>
      </c>
      <c r="B386" s="27" t="inlineStr">
        <is>
          <t>No. 381</t>
        </is>
      </c>
      <c r="C386" s="28" t="inlineStr">
        <is>
          <t>原則 18</t>
        </is>
      </c>
      <c r="D386" s="29" t="inlineStr">
        <is>
          <t>In any situation, stay calm. Item388.</t>
        </is>
      </c>
      <c r="E386" s="30" t="inlineStr">
        <is>
          <t>In any situation, maintain your composure and stay calm. (Related to Item 388)</t>
        </is>
      </c>
      <c r="F386" s="31" t="inlineStr">
        <is>
          <t>不論面對何種突發狀況，務必保持冷靜與克制。（對照第388條）</t>
        </is>
      </c>
      <c r="G386" s="32" t="inlineStr">
        <is>
          <t>無論拄著啥物大風大浪抑是突發狀況，心神千萬愛定，保持冷靜佮沉穩。（對照第 388 條）</t>
        </is>
      </c>
      <c r="H386" s="33" t="inlineStr"/>
      <c r="I386" s="29" t="inlineStr"/>
      <c r="J386" s="34" t="inlineStr"/>
      <c r="K386" s="35" t="inlineStr"/>
    </row>
    <row r="387" ht="24" customHeight="1">
      <c r="A387" s="36" t="inlineStr">
        <is>
          <t>Slide 8</t>
        </is>
      </c>
      <c r="B387" s="37" t="inlineStr">
        <is>
          <t>No. 382</t>
        </is>
      </c>
      <c r="C387" s="38" t="inlineStr">
        <is>
          <t>原則 6, 原則 17</t>
        </is>
      </c>
      <c r="D387" s="39" t="inlineStr">
        <is>
          <t>Learn read financial report from top managers and annual report for considering job security, what is the KPI for coming year. How to judge operation working fine or not. To see if your product is survived in the market? What is product life? Cycle time.</t>
        </is>
      </c>
      <c r="E387" s="40" t="inlineStr">
        <is>
          <t>Learn to read executive financial summaries and annual reports to evaluate company stability, identify key performance indicators (KPIs) for the upcoming year, and assess operational health. Analyze whether your product holds market longevity, understanding its life cycle and production lead times.</t>
        </is>
      </c>
      <c r="F387" s="41" t="inlineStr">
        <is>
          <t>學會解讀高層財務報告與公司年報，以評估企業營運風險、掌握年度關鍵績效指標（KPI）及判斷整體經營健康度。同時審視產品在市場上的競爭力、生命週期與作業週期。</t>
        </is>
      </c>
      <c r="G387" s="42" t="inlineStr">
        <is>
          <t>愛學會曉看高層財報佮公司年報，判斷公司體質敢有勇健、來年 KPI 是啥，家己的飯碗敢會安穩。同時審視產品佇市場頂的競爭力、壽命佮生產週期。</t>
        </is>
      </c>
      <c r="H387" s="43" t="inlineStr"/>
      <c r="I387" s="39" t="inlineStr"/>
      <c r="J387" s="44" t="inlineStr"/>
      <c r="K387" s="45" t="inlineStr"/>
    </row>
    <row r="388" ht="24" customHeight="1">
      <c r="A388" s="26" t="inlineStr">
        <is>
          <t>Slide 8</t>
        </is>
      </c>
      <c r="B388" s="27" t="inlineStr">
        <is>
          <t>No. 383</t>
        </is>
      </c>
      <c r="C388" s="28" t="inlineStr">
        <is>
          <t>原則 3, 原則 4</t>
        </is>
      </c>
      <c r="D388" s="29" t="inlineStr">
        <is>
          <t>Don’t hesitate to use new tool or afraid of. Like Chatgpt, 電子筆記。And think where to find it next time quickly. Automation</t>
        </is>
      </c>
      <c r="E388" s="30" t="inlineStr">
        <is>
          <t>Embrace modern technology and tools (such as ChatGPT, electronic note-taking apps, and automation workflow tools) without fear. Systematize your information architecture so you can retrieve files quickly when needed.</t>
        </is>
      </c>
      <c r="F388" s="31" t="inlineStr">
        <is>
          <t>勇於擁抱新工具與新技術（如 ChatGPT、數位筆記與自動化工具），切勿排斥。同時建構清晰的資訊檢索邏輯，確保日後能快速查閱與複用。</t>
        </is>
      </c>
      <c r="G388" s="32" t="inlineStr">
        <is>
          <t>莫驚用新工具佮新科技（親像 ChatGPT、數位筆記佮自動化機制）。整理出清楚的檔案目錄，下一回需要用著的時陣，隨時揣會著、好調度。</t>
        </is>
      </c>
      <c r="H388" s="33" t="inlineStr"/>
      <c r="I388" s="29" t="inlineStr"/>
      <c r="J388" s="34" t="inlineStr"/>
      <c r="K388" s="35" t="inlineStr"/>
    </row>
    <row r="389" ht="24" customHeight="1">
      <c r="A389" s="36" t="inlineStr">
        <is>
          <t>Slide 8</t>
        </is>
      </c>
      <c r="B389" s="37" t="inlineStr">
        <is>
          <t>No. 384</t>
        </is>
      </c>
      <c r="C389" s="38" t="inlineStr">
        <is>
          <t>原則 2, 原則 10</t>
        </is>
      </c>
      <c r="D389" s="39" t="inlineStr">
        <is>
          <t>don’t ask if you may know possible feedback or answers.</t>
        </is>
      </c>
      <c r="E389" s="40" t="inlineStr">
        <is>
          <t>Do not ask questions if you already know the answers or can predict the feedback; avoid wasting valuable communication bandwidth.</t>
        </is>
      </c>
      <c r="F389" s="41" t="inlineStr">
        <is>
          <t>如果你已經知道答案或能預測對方的反饋，就別開口詢問，不要浪費多餘的溝通頻寬。</t>
        </is>
      </c>
      <c r="G389" s="42" t="inlineStr">
        <is>
          <t>家己明明知影答案、抑是早就會當臆出對方的回應，就莫閣開喙多問，莫白白討債雙方的溝通時間。</t>
        </is>
      </c>
      <c r="H389" s="43" t="inlineStr"/>
      <c r="I389" s="39" t="inlineStr"/>
      <c r="J389" s="44" t="inlineStr"/>
      <c r="K389" s="45" t="inlineStr"/>
    </row>
    <row r="390" ht="24" customHeight="1">
      <c r="A390" s="26" t="inlineStr">
        <is>
          <t>Slide 8</t>
        </is>
      </c>
      <c r="B390" s="27" t="inlineStr">
        <is>
          <t>No. 385</t>
        </is>
      </c>
      <c r="C390" s="28" t="inlineStr">
        <is>
          <t>原則 2</t>
        </is>
      </c>
      <c r="D390" s="29" t="inlineStr">
        <is>
          <t>Reduced email communication, talk directly if needed.</t>
        </is>
      </c>
      <c r="E390" s="30" t="inlineStr">
        <is>
          <t>Minimize email communication; pick up the phone or speak directly to resolve issues faster. (Related to Item 18)</t>
        </is>
      </c>
      <c r="F390" s="31" t="inlineStr">
        <is>
          <t>減少來回的電子郵件溝通。必要時直接通話或當面討論以提高效率。</t>
        </is>
      </c>
      <c r="G390" s="32" t="inlineStr">
        <is>
          <t>減少批信來來去去，該當見面抑是敲電話直接講，就當面溝通，才袂共時間耗佇文字往來頂高。</t>
        </is>
      </c>
      <c r="H390" s="33" t="inlineStr"/>
      <c r="I390" s="29" t="inlineStr"/>
      <c r="J390" s="34" t="inlineStr"/>
      <c r="K390" s="35" t="inlineStr"/>
    </row>
    <row r="391" ht="24" customHeight="1">
      <c r="A391" s="36" t="inlineStr">
        <is>
          <t>Slide 8</t>
        </is>
      </c>
      <c r="B391" s="37" t="inlineStr">
        <is>
          <t>No. 386</t>
        </is>
      </c>
      <c r="C391" s="38" t="inlineStr">
        <is>
          <t>原則 16</t>
        </is>
      </c>
      <c r="D391" s="39" t="inlineStr">
        <is>
          <t>Secure circle of power and extent it. Review your skill table.</t>
        </is>
      </c>
      <c r="E391" s="40" t="inlineStr">
        <is>
          <t>Consolidate your core circle of competence (power of circle) first, then expand it. Review your skill matrix periodically.</t>
        </is>
      </c>
      <c r="F391" s="41" t="inlineStr">
        <is>
          <t>先鞏固好你的核心技能圈與影響力邊界，再逐步對外擴張。定期檢視你的個人技能矩陣。</t>
        </is>
      </c>
      <c r="G391" s="42" t="inlineStr">
        <is>
          <t>先共家己的核心本事佮話事權的界線顧好勢，才一步一步向外開拓。定時盤點家己的技能清單，知長短、補不足。</t>
        </is>
      </c>
      <c r="H391" s="43" t="inlineStr"/>
      <c r="I391" s="39" t="inlineStr"/>
      <c r="J391" s="44" t="inlineStr"/>
      <c r="K391" s="45" t="inlineStr"/>
    </row>
    <row r="392" ht="24" customHeight="1">
      <c r="A392" s="26" t="inlineStr">
        <is>
          <t>Slide 8</t>
        </is>
      </c>
      <c r="B392" s="27" t="inlineStr">
        <is>
          <t>No. 387</t>
        </is>
      </c>
      <c r="C392" s="28" t="inlineStr">
        <is>
          <t>原則 14</t>
        </is>
      </c>
      <c r="D392" s="29" t="inlineStr">
        <is>
          <t>Keep silence till you meet your goal. Keep your mouth shout.</t>
        </is>
      </c>
      <c r="E392" s="30" t="inlineStr">
        <is>
          <t>Keep your plans quiet and remain silent until you reach your goal.</t>
        </is>
      </c>
      <c r="F392" s="31" t="inlineStr">
        <is>
          <t>在達成目標之前，保持絕對的低調與沉靜，少說多做。</t>
        </is>
      </c>
      <c r="G392" s="32" t="inlineStr">
        <is>
          <t>佇目標猶未達成進前，共喙罨好勢，恬恬踏實去做。少膨風、多做代誌，等做成了後才予成果講話。</t>
        </is>
      </c>
      <c r="H392" s="33" t="inlineStr"/>
      <c r="I392" s="29" t="inlineStr"/>
      <c r="J392" s="34" t="inlineStr"/>
      <c r="K392" s="35" t="inlineStr"/>
    </row>
    <row r="393" ht="24" customHeight="1">
      <c r="A393" s="36" t="inlineStr">
        <is>
          <t>Slide 8</t>
        </is>
      </c>
      <c r="B393" s="37" t="inlineStr">
        <is>
          <t>No. 388</t>
        </is>
      </c>
      <c r="C393" s="38" t="inlineStr">
        <is>
          <t>原則 9, 原則 18</t>
        </is>
      </c>
      <c r="D393" s="39" t="inlineStr">
        <is>
          <t>To calm and have grown mindset when receiving negative / improved feedback.</t>
        </is>
      </c>
      <c r="E393" s="40" t="inlineStr">
        <is>
          <t>Remain calm and maintain a growth mindset when receiving critical or constructive feedback.</t>
        </is>
      </c>
      <c r="F393" s="41" t="inlineStr">
        <is>
          <t>面對批評或改進意見時，保持冷靜並抱持成長型思維，將其視為進化的養分。</t>
        </is>
      </c>
      <c r="G393" s="42" t="inlineStr">
        <is>
          <t>聽著別人的批評佮改進意見，莫著急受氣，心神愛穩；抱持成長的心態，共建言當做補足破綻的養分。</t>
        </is>
      </c>
      <c r="H393" s="43" t="inlineStr"/>
      <c r="I393" s="39" t="inlineStr"/>
      <c r="J393" s="44" t="inlineStr"/>
      <c r="K393" s="45" t="inlineStr"/>
    </row>
    <row r="394" ht="24" customHeight="1">
      <c r="A394" s="26" t="inlineStr">
        <is>
          <t>Slide 8</t>
        </is>
      </c>
      <c r="B394" s="27" t="inlineStr">
        <is>
          <t>No. 389</t>
        </is>
      </c>
      <c r="C394" s="28" t="inlineStr">
        <is>
          <t>原則 18</t>
        </is>
      </c>
      <c r="D394" s="29" t="inlineStr">
        <is>
          <t>What do you learn from the past and how to improve in the future.</t>
        </is>
      </c>
      <c r="E394" s="30" t="inlineStr">
        <is>
          <t>Regularly ask yourself: "What lessons have I learned from the past, and how can I apply them to improve in the future?"</t>
        </is>
      </c>
      <c r="F394" s="31" t="inlineStr">
        <is>
          <t>時常審視：「我從過去中汲取了什麼教訓？未來該如何改進？」</t>
        </is>
      </c>
      <c r="G394" s="32" t="inlineStr">
        <is>
          <t>定定自問省思：「我對過去的經驗學著啥物教訓？將來欲按怎改進甲閣較好？」</t>
        </is>
      </c>
      <c r="H394" s="33" t="inlineStr"/>
      <c r="I394" s="29" t="inlineStr"/>
      <c r="J394" s="34" t="inlineStr"/>
      <c r="K394" s="35" t="inlineStr"/>
    </row>
    <row r="395" ht="24" customHeight="1">
      <c r="A395" s="36" t="inlineStr">
        <is>
          <t>Slide 8</t>
        </is>
      </c>
      <c r="B395" s="37" t="inlineStr">
        <is>
          <t>No. 399</t>
        </is>
      </c>
      <c r="C395" s="38" t="inlineStr">
        <is>
          <t>原則 10</t>
        </is>
      </c>
      <c r="D395" s="39" t="inlineStr">
        <is>
          <t>Would you like to make an announcement or ask a question/suggestion? 1. Do you have a solution at hand? 2. Understand the impact or resources needed? effort? 3. Does this make anyone (or yourself) feel good? Decorum!(得體) If none of the above are true, don't do it.</t>
        </is>
      </c>
      <c r="E395" s="40" t="inlineStr">
        <is>
          <t>Before making an announcement or offering suggestions, run this filter: 1. Do you have a viable solution ready? 2. Do you understand the required resources, effort, and impact? 3. Does this maintain decorum and build positive relations? If none are true, keep silent.</t>
        </is>
      </c>
      <c r="F395" s="41" t="inlineStr">
        <is>
          <t>在公開發言或提建議前，先進行三重過濾：1. 你手頭是否有可行的解決方案？2. 你是否清楚所需的資源、付出與影響？3. 這是否合乎職場體統與禮儀（Decorum）？如果答案都是否定的，請保持沉默。</t>
        </is>
      </c>
      <c r="G395" s="42" t="inlineStr">
        <is>
          <t>公開宣布抑是提建議進前，先過濾三關：一、手頭敢有做得通的解方？二、愛用偌濟資源人力佮影響敢算會出來？三、講出來敢有合職場禮數（得體）？若無一項合，就恬恬莫出聲。</t>
        </is>
      </c>
      <c r="H395" s="43" t="inlineStr"/>
      <c r="I395" s="39" t="inlineStr"/>
      <c r="J395" s="44" t="inlineStr"/>
      <c r="K395" s="45" t="inlineStr"/>
    </row>
    <row r="396" ht="24" customHeight="1">
      <c r="A396" s="26" t="inlineStr">
        <is>
          <t>Slide 8</t>
        </is>
      </c>
      <c r="B396" s="27" t="inlineStr">
        <is>
          <t>No. 400</t>
        </is>
      </c>
      <c r="C396" s="28" t="inlineStr">
        <is>
          <t>原則 20</t>
        </is>
      </c>
      <c r="D396" s="29" t="inlineStr">
        <is>
          <t>Reserve some time to think, read and learn and write. Scared time.</t>
        </is>
      </c>
      <c r="E396" s="30" t="inlineStr">
        <is>
          <t>Reserve uninterrupted "sacred time" daily to think, read, learn, and write.</t>
        </is>
      </c>
      <c r="F396" s="31" t="inlineStr">
        <is>
          <t>每天為自己留出一段不受干擾的「神聖時間」，專注於思考、閱讀、學習與寫作。</t>
        </is>
      </c>
      <c r="G396" s="32" t="inlineStr">
        <is>
          <t>逐工愛替家己留一段無人打擾的「神聖時間」，專心用佇深思、讀冊、吸收新知佮寫字整理思緒。</t>
        </is>
      </c>
      <c r="H396" s="33" t="inlineStr"/>
      <c r="I396" s="29" t="inlineStr"/>
      <c r="J396" s="34" t="inlineStr"/>
      <c r="K396" s="35" t="inlineStr"/>
    </row>
    <row r="397" ht="24" customHeight="1">
      <c r="A397" s="36" t="inlineStr">
        <is>
          <t>Slide 8</t>
        </is>
      </c>
      <c r="B397" s="37" t="inlineStr">
        <is>
          <t>No. 401</t>
        </is>
      </c>
      <c r="C397" s="38" t="inlineStr">
        <is>
          <t>原則 11, 原則 14</t>
        </is>
      </c>
      <c r="D397" s="39" t="inlineStr">
        <is>
          <t>Be mysterious, don’t comment on everything. Be patient for the feedback and wait for situation change.</t>
        </is>
      </c>
      <c r="E397" s="40" t="inlineStr">
        <is>
          <t>Maintain professional mystery; do not comment on every issue. Exercise patience when waiting for feedback and allow situations to evolve before reacting.</t>
        </is>
      </c>
      <c r="F397" s="41" t="inlineStr">
        <is>
          <t>保持某種職場神秘感，不隨意發表言論。耐心等待別人的反饋，靜待局勢產生變化後再做應對。</t>
        </is>
      </c>
      <c r="G397" s="42" t="inlineStr">
        <is>
          <t>佇職場保持一寡神秘感，莫項項見縫插針發言。耐性等待別人的動靜，靜觀其變，等局勢看明朗才出招。</t>
        </is>
      </c>
      <c r="H397" s="43" t="inlineStr"/>
      <c r="I397" s="39" t="inlineStr"/>
      <c r="J397" s="44" t="inlineStr"/>
      <c r="K397" s="45" t="inlineStr"/>
    </row>
    <row r="398" ht="24" customHeight="1">
      <c r="A398" s="26" t="inlineStr">
        <is>
          <t>Slide 8</t>
        </is>
      </c>
      <c r="B398" s="27" t="inlineStr">
        <is>
          <t>No. 402</t>
        </is>
      </c>
      <c r="C398" s="28" t="inlineStr">
        <is>
          <t>原則 14, 原則 18</t>
        </is>
      </c>
      <c r="D398" s="29" t="inlineStr">
        <is>
          <t>Prey for what you hard work.</t>
        </is>
      </c>
      <c r="E398" s="30" t="inlineStr">
        <is>
          <t>Trust in the compounding value of your hard work, and let the results speak for themselves.</t>
        </is>
      </c>
      <c r="F398" s="31" t="inlineStr">
        <is>
          <t>深信自己辛勤付出的價值，靜待時間複利結出果實。</t>
        </is>
      </c>
      <c r="G398" s="32" t="inlineStr">
        <is>
          <t>確信家己認真流落來的汗水絕袂白費，耐性等待時間利疊利，落尾自然會結出飽穗的果子。</t>
        </is>
      </c>
      <c r="H398" s="33" t="inlineStr"/>
      <c r="I398" s="29" t="inlineStr"/>
      <c r="J398" s="34" t="inlineStr"/>
      <c r="K398" s="35" t="inlineStr"/>
    </row>
    <row r="399" ht="24" customHeight="1">
      <c r="A399" s="36" t="inlineStr">
        <is>
          <t>Slide 8</t>
        </is>
      </c>
      <c r="B399" s="37" t="inlineStr">
        <is>
          <t>No. 403</t>
        </is>
      </c>
      <c r="C399" s="38" t="inlineStr">
        <is>
          <t>原則 6, 原則 12</t>
        </is>
      </c>
      <c r="D399" s="39" t="inlineStr">
        <is>
          <t>carry the ball to boss.</t>
        </is>
      </c>
      <c r="E399" s="40" t="inlineStr">
        <is>
          <t>Know when to escalate decisions and delegate complex issues to your manager ("pass the ball to the boss") rather than carrying unreasonable burdens alone.</t>
        </is>
      </c>
      <c r="F399" s="41" t="inlineStr">
        <is>
          <t>學會踢回皮球。當遇到超出職權範圍或需要高層定奪的事物時，適時呈報主管（將球傳給老闆），不要自己強扛責任。</t>
        </is>
      </c>
      <c r="G399" s="42" t="inlineStr">
        <is>
          <t>愛學會曉共球踢轉去。拄著超過職權範圍抑是愛由高層裁奪的大事，適時呈報主管（共球傳予頭家），莫家己戇戇攬落來死擔責任。</t>
        </is>
      </c>
      <c r="H399" s="43" t="inlineStr"/>
      <c r="I399" s="39" t="inlineStr"/>
      <c r="J399" s="44" t="inlineStr"/>
      <c r="K399" s="45" t="inlineStr"/>
    </row>
    <row r="400" ht="24" customHeight="1">
      <c r="A400" s="26" t="inlineStr">
        <is>
          <t>Slide 8</t>
        </is>
      </c>
      <c r="B400" s="27" t="inlineStr">
        <is>
          <t>No. 404</t>
        </is>
      </c>
      <c r="C400" s="28" t="inlineStr">
        <is>
          <t>原則 6, 原則 8</t>
        </is>
      </c>
      <c r="D400" s="29" t="inlineStr">
        <is>
          <t>What is current market trend and how managers reply?</t>
        </is>
      </c>
      <c r="E400" s="30" t="inlineStr">
        <is>
          <t>Observe the current market trends and study how executives and leaders respond to these changes.</t>
        </is>
      </c>
      <c r="F400" s="31" t="inlineStr">
        <is>
          <t>密切觀察當前的市場趨勢，並學習主管及高階主管面對這些變革時的應對之策。</t>
        </is>
      </c>
      <c r="G400" s="32" t="inlineStr">
        <is>
          <t>目睭擘予金金，看清這馬的市場大勢；向頭人佮高層學習，看人面對風湧變化的時陣，是用啥物步數應變。</t>
        </is>
      </c>
      <c r="H400" s="33" t="inlineStr"/>
      <c r="I400" s="29" t="inlineStr"/>
      <c r="J400" s="34" t="inlineStr"/>
      <c r="K400" s="35" t="inlineStr"/>
    </row>
    <row r="401" ht="24" customHeight="1">
      <c r="A401" s="36" t="inlineStr">
        <is>
          <t>Slide 8</t>
        </is>
      </c>
      <c r="B401" s="37" t="inlineStr">
        <is>
          <t>No. 405</t>
        </is>
      </c>
      <c r="C401" s="38" t="inlineStr">
        <is>
          <t>原則 1, 原則 19</t>
        </is>
      </c>
      <c r="D401" s="39" t="inlineStr">
        <is>
          <t>When was the last time you are in the flow?</t>
        </is>
      </c>
      <c r="E401" s="40" t="inlineStr">
        <is>
          <t>Reflect on your working habits: When was the last time you entered a deep, productive state of "flow"? How can you replicate that environment?</t>
        </is>
      </c>
      <c r="F401" s="41" t="inlineStr">
        <is>
          <t>回顧自我狀態：你上一次進入心無旁騖的「心流（Flow）」狀態是什麼時候？該如何重新複製那樣的專注環境？</t>
        </is>
      </c>
      <c r="G401" s="42" t="inlineStr">
        <is>
          <t>回想自省：頂一擺全神貫注、入神到連時間攏袂記得的「心流」境界，是佇啥物時陣？欲按怎重造彼種無雜念的專注環境？</t>
        </is>
      </c>
      <c r="H401" s="43" t="inlineStr"/>
      <c r="I401" s="39" t="inlineStr"/>
      <c r="J401" s="44" t="inlineStr"/>
      <c r="K401" s="45" t="inlineStr"/>
    </row>
    <row r="402" ht="24" customHeight="1">
      <c r="A402" s="26" t="inlineStr">
        <is>
          <t>Slide 8</t>
        </is>
      </c>
      <c r="B402" s="27" t="inlineStr">
        <is>
          <t>No. 406</t>
        </is>
      </c>
      <c r="C402" s="28" t="inlineStr">
        <is>
          <t>原則 19, 原則 20</t>
        </is>
      </c>
      <c r="D402" s="29" t="inlineStr">
        <is>
          <t>developing Surviving skill, try to cook some food for your three meals</t>
        </is>
      </c>
      <c r="E402" s="30" t="inlineStr">
        <is>
          <t>Build basic survival and life skills, such as learning to cook your own meals to maintain physical health.</t>
        </is>
      </c>
      <c r="F402" s="31" t="inlineStr">
        <is>
          <t>培養基本的自主生活技能，例如學會自己下廚準備三餐，這是維持身體健康的基礎。</t>
        </is>
      </c>
      <c r="G402" s="32" t="inlineStr">
        <is>
          <t>培養生活自立的真本事，譬如學會曉家己煮三頓；顧好家己的腹肚，才有本錢行長遠的職場路。</t>
        </is>
      </c>
      <c r="H402" s="33" t="inlineStr"/>
      <c r="I402" s="29" t="inlineStr"/>
      <c r="J402" s="34" t="inlineStr"/>
      <c r="K402" s="35" t="inlineStr"/>
    </row>
    <row r="403" ht="24" customHeight="1">
      <c r="A403" s="36" t="inlineStr">
        <is>
          <t>Slide 8</t>
        </is>
      </c>
      <c r="B403" s="37" t="inlineStr">
        <is>
          <t>No. 407</t>
        </is>
      </c>
      <c r="C403" s="38" t="inlineStr">
        <is>
          <t>原則 13, 原則 14</t>
        </is>
      </c>
      <c r="D403" s="39" t="inlineStr">
        <is>
          <t>do not talk about negative things to your colleague, speak some positive things and they will look up on you, envy you even jealous you but it's all good however, if you're talking about negative things they will look down on you and think you're not good enough. there is a perform, you need to play for survival.</t>
        </is>
      </c>
      <c r="E403" s="40" t="inlineStr">
        <is>
          <t>Avoid sharing negative thoughts with colleagues. Focus on positive milestones; this encourages respect and establishes your authority. Complaining or sharing vulnerabilities in the office can cause others to perceive you as weak. Understand that workplace survival requires strategic self-presentation.</t>
        </is>
      </c>
      <c r="F403" s="41" t="inlineStr">
        <is>
          <t>避免在同事面前流露消極想法。多談論正面、有建設性的事，這能建立你的專業自信並贏得尊重。相反地，頻繁抱怨只會讓旁人質疑你的能力。認清現實：職場是一場表演，為了生存，你必須展現專業與實力。</t>
        </is>
      </c>
      <c r="G403" s="42" t="inlineStr">
        <is>
          <t>莫佇同仁面前碎碎唸、哀怨倒糞埽。多講光明正面、有建設性的代誌，別人才會共你看重；定定怨嘆只會予人看輕。認清現實：職場親像搬戲，為著企予在，愛共專業氣勢搬演出來。</t>
        </is>
      </c>
      <c r="H403" s="43" t="inlineStr"/>
      <c r="I403" s="39" t="inlineStr"/>
      <c r="J403" s="44" t="inlineStr"/>
      <c r="K403" s="45" t="inlineStr"/>
    </row>
    <row r="404" ht="24" customHeight="1">
      <c r="A404" s="26" t="inlineStr">
        <is>
          <t>Slide 8</t>
        </is>
      </c>
      <c r="B404" s="27" t="inlineStr">
        <is>
          <t>No. 408</t>
        </is>
      </c>
      <c r="C404" s="28" t="inlineStr">
        <is>
          <t>原則 6, 原則 12</t>
        </is>
      </c>
      <c r="D404" s="29" t="inlineStr">
        <is>
          <t>Do right thing? What is right? Who to judge? And you have power to do right thing?</t>
        </is>
      </c>
      <c r="E404" s="30" t="inlineStr">
        <is>
          <t>Reflect on what it means to "do the right thing." Who defines what is right in this context, and do you possess the authority or power to execute it?</t>
        </is>
      </c>
      <c r="F404" s="31" t="inlineStr">
        <is>
          <t>思考何謂「做正確的事」。在目前的職場環境中，究竟由誰定義正確？而你是否有足夠的權限與力量去推動它？</t>
        </is>
      </c>
      <c r="G404" s="32" t="inlineStr">
        <is>
          <t>想看覓啥物叫做「做著的代誌」。佇這馬的職場內底，到底是誰人來評斷著佮毋著？閣有，家己手上敢有法度、敢有權限去推行伊？</t>
        </is>
      </c>
      <c r="H404" s="33" t="inlineStr"/>
      <c r="I404" s="29" t="inlineStr"/>
      <c r="J404" s="34" t="inlineStr"/>
      <c r="K404" s="35" t="inlineStr"/>
    </row>
    <row r="405" ht="24" customHeight="1">
      <c r="A405" s="36" t="inlineStr">
        <is>
          <t>Slide 8</t>
        </is>
      </c>
      <c r="B405" s="37" t="inlineStr">
        <is>
          <t>No. 409</t>
        </is>
      </c>
      <c r="C405" s="38" t="inlineStr">
        <is>
          <t>原則 7</t>
        </is>
      </c>
      <c r="D405" s="39" t="inlineStr">
        <is>
          <t>ask directly for better solution. It is hard to do first time right.</t>
        </is>
      </c>
      <c r="E405" s="40" t="inlineStr">
        <is>
          <t>Ask directly for feedback and advice to find a better solution. Accept that getting things "first-time-right" is rare; focus on iterative improvements.</t>
        </is>
      </c>
      <c r="F405" s="41" t="inlineStr">
        <is>
          <t>直接向專家或主管請教更好的解決方案。認清很少有人能「一次就做對」的事實，重點在於快速迭代改進。</t>
        </is>
      </c>
      <c r="G405" s="42" t="inlineStr">
        <is>
          <t>向專家抑是主管請益較好、較妥當的解法。無人一開始就能妥妥當當「一擺就做著」，緊修正、緊調進步才是真本事。</t>
        </is>
      </c>
      <c r="H405" s="43" t="inlineStr"/>
      <c r="I405" s="39" t="inlineStr"/>
      <c r="J405" s="44" t="inlineStr"/>
      <c r="K405" s="45" t="inlineStr"/>
    </row>
    <row r="406" ht="24" customHeight="1">
      <c r="A406" s="26" t="inlineStr">
        <is>
          <t>Slide 8</t>
        </is>
      </c>
      <c r="B406" s="27" t="inlineStr">
        <is>
          <t>No. 410</t>
        </is>
      </c>
      <c r="C406" s="28" t="inlineStr">
        <is>
          <t>原則 6, 原則 18</t>
        </is>
      </c>
      <c r="D406" s="29" t="inlineStr">
        <is>
          <t>Try to adaptive the thing you cannot change instead run away. Choose battle.</t>
        </is>
      </c>
      <c r="E406" s="30" t="inlineStr">
        <is>
          <t>Learn to adapt to unchangeable realities rather than fleeing. Strategically choose your battles and conserve energy for what truly matters.</t>
        </is>
      </c>
      <c r="F406" s="31" t="inlineStr">
        <is>
          <t>面對無法改變的客觀事實，與其逃避不如學會適應。學會精明地選擇戰場，將精力集中在關鍵戰役上。</t>
        </is>
      </c>
      <c r="G406" s="32" t="inlineStr">
        <is>
          <t>拄著無法度改變的定局，閃避不如順應調適。愛曉得揀戰場，共氣力留佇真正要緊、拚會贏的主戰場。</t>
        </is>
      </c>
      <c r="H406" s="33" t="inlineStr"/>
      <c r="I406" s="29" t="inlineStr"/>
      <c r="J406" s="34" t="inlineStr"/>
      <c r="K406" s="35" t="inlineStr"/>
    </row>
    <row r="407" ht="24" customHeight="1">
      <c r="A407" s="36" t="inlineStr">
        <is>
          <t>Slide 8</t>
        </is>
      </c>
      <c r="B407" s="37" t="inlineStr">
        <is>
          <t>No. 411</t>
        </is>
      </c>
      <c r="C407" s="38" t="inlineStr">
        <is>
          <t>原則 16</t>
        </is>
      </c>
      <c r="D407" s="39" t="inlineStr">
        <is>
          <t>any accumulate knowledge or credit or experience on current project or position.</t>
        </is>
      </c>
      <c r="E407" s="40" t="inlineStr">
        <is>
          <t>Evaluate if your current project or position is helping you accumulate valuable knowledge, industry credit, or transferable experience.</t>
        </is>
      </c>
      <c r="F407" s="41" t="inlineStr">
        <is>
          <t>盤點目前的專案或崗位，是否能為你累積帶得走的專業知識、業界信譽（Credit）或實戰經驗？</t>
        </is>
      </c>
      <c r="G407" s="42" t="inlineStr">
        <is>
          <t>盤點這馬當咧做的專案佮職位：敢有替家己累積紮會走的專業學問、業界信用（Credit）抑是經得起考驗的實戰經驗？</t>
        </is>
      </c>
      <c r="H407" s="43" t="inlineStr"/>
      <c r="I407" s="39" t="inlineStr"/>
      <c r="J407" s="44" t="inlineStr"/>
      <c r="K407" s="45" t="inlineStr"/>
    </row>
    <row r="408" ht="24" customHeight="1">
      <c r="A408" s="26" t="inlineStr">
        <is>
          <t>Slide 8</t>
        </is>
      </c>
      <c r="B408" s="27" t="inlineStr">
        <is>
          <t>No. 412</t>
        </is>
      </c>
      <c r="C408" s="28" t="inlineStr">
        <is>
          <t>原則 6, 原則 12</t>
        </is>
      </c>
      <c r="D408" s="29" t="inlineStr">
        <is>
          <t>People didn't lie but they didn't tell all truth, that will mislead others. Fragment facts.</t>
        </is>
      </c>
      <c r="E408" s="30" t="inlineStr">
        <is>
          <t>Be aware that people rarely lie outright, but they often omit key details. These fragmented facts can easily mislead; always seek the complete picture.</t>
        </is>
      </c>
      <c r="F408" s="31" t="inlineStr">
        <is>
          <t>保持警覺：人們很少直接撒謊，但往往會隱瞞部分真相。這種碎片化的事實更容易誤導人；務必主動還原完整全貌。</t>
        </is>
      </c>
      <c r="G408" s="32" t="inlineStr">
        <is>
          <t>心內愛有數：人罕得真正明目張膽講妄話，顛倒是隱瞞半段真相。這款殘缺片斷的事實上會騙人；愛主動拼出代誌的完整全貌。</t>
        </is>
      </c>
      <c r="H408" s="33" t="inlineStr"/>
      <c r="I408" s="29" t="inlineStr"/>
      <c r="J408" s="34" t="inlineStr"/>
      <c r="K408" s="35" t="inlineStr"/>
    </row>
    <row r="409" ht="24" customHeight="1">
      <c r="A409" s="36" t="inlineStr">
        <is>
          <t>Slide 8</t>
        </is>
      </c>
      <c r="B409" s="37" t="inlineStr">
        <is>
          <t>No. 413</t>
        </is>
      </c>
      <c r="C409" s="38" t="inlineStr">
        <is>
          <t>原則 6</t>
        </is>
      </c>
      <c r="D409" s="39" t="inlineStr">
        <is>
          <t>when making a decision, what will happen after 10 days, 10 months and 10 years.</t>
        </is>
      </c>
      <c r="E409" s="40" t="inlineStr">
        <is>
          <t>When making critical decisions, evaluate their consequences across three timelines: What will happen in 10 days, 10 months, and 10 years? (Rule of 10-10-10)</t>
        </is>
      </c>
      <c r="F409" s="41" t="inlineStr">
        <is>
          <t>做決策前，運用「10-10-10 原則」審視後果：這決定在 10 天後、10 個月後以及 10 年後會帶來什麼影響？</t>
        </is>
      </c>
      <c r="G409" s="42" t="inlineStr">
        <is>
          <t>做重大決斷進前，用「10-10-10 法則」衡量後果：這項決定佇 10 工後、10 个月後、甚至 10 年後，會產生啥物變更佮影響？</t>
        </is>
      </c>
      <c r="H409" s="43" t="inlineStr"/>
      <c r="I409" s="39" t="inlineStr"/>
      <c r="J409" s="44" t="inlineStr"/>
      <c r="K409" s="45" t="inlineStr"/>
    </row>
    <row r="410" ht="24" customHeight="1">
      <c r="A410" s="26" t="inlineStr">
        <is>
          <t>Slide 8</t>
        </is>
      </c>
      <c r="B410" s="27" t="inlineStr">
        <is>
          <t>No. 414</t>
        </is>
      </c>
      <c r="C410" s="28" t="inlineStr">
        <is>
          <t>原則 20</t>
        </is>
      </c>
      <c r="D410" s="29" t="inlineStr">
        <is>
          <t>Don't put 100% load capacity, any incident may happen. If it does, you have no capa to handle. Need scared time to fresh mind. Arrange your time for writing, reading and travling.</t>
        </is>
      </c>
      <c r="E410" s="30" t="inlineStr">
        <is>
          <t>Never operate at 100% load capacity; always leave a buffer to handle unexpected emergencies. Use your sacred time to refresh your mind, and schedule time for writing, reading, and traveling.</t>
        </is>
      </c>
      <c r="F410" s="31" t="inlineStr">
        <is>
          <t>工作絕不要排滿 100% 的極限頻寬，務必預留緩衝以應對突發狀況。利用神聖時間沉澱心靈，妥善安排寫作、閱讀與旅行的生活日程。</t>
        </is>
      </c>
      <c r="G410" s="32" t="inlineStr">
        <is>
          <t>工作千千萬萬莫塞滿 100% 的極限，愛留後路緩衝來應付突發變故。善用神聖時間洗滌清涼心智，妥當安排寫字、讀冊佮出門散步旅行。</t>
        </is>
      </c>
      <c r="H410" s="33" t="inlineStr"/>
      <c r="I410" s="29" t="inlineStr"/>
      <c r="J410" s="34" t="inlineStr"/>
      <c r="K410" s="35" t="inlineStr"/>
    </row>
    <row r="411" ht="24" customHeight="1">
      <c r="A411" s="36" t="inlineStr">
        <is>
          <t>Slide 8</t>
        </is>
      </c>
      <c r="B411" s="37" t="inlineStr">
        <is>
          <t>No. 415</t>
        </is>
      </c>
      <c r="C411" s="38" t="inlineStr">
        <is>
          <t>原則 3, 原則 6, 原則 10</t>
        </is>
      </c>
      <c r="D411" s="39" t="inlineStr">
        <is>
          <t>a template for meeting minutes, agenda. PAR problem action result. AAR</t>
        </is>
      </c>
      <c r="E411" s="40" t="inlineStr">
        <is>
          <t>Adopt structured templates for agendas and meeting minutes. Utilize established problem-solving frameworks such as PAR (Problem, Action, Result) and AAR (After Action Review) for consistent follow-through.</t>
        </is>
      </c>
      <c r="F411" s="41" t="inlineStr">
        <is>
          <t>建立結構化的會議議程與紀錄範本。導入 PAR（問題/行動/結果）與 AAR（事後檢視機制）等管報架構，確保決議有效落實。</t>
        </is>
      </c>
      <c r="G411" s="42" t="inlineStr">
        <is>
          <t>開會議程佮會議紀錄愛用定型的範本。套入 PAR（問題-行動-成果）佮 AAR（事後檢討）等分析框架，決議落實才袂走精。</t>
        </is>
      </c>
      <c r="H411" s="43" t="inlineStr"/>
      <c r="I411" s="39" t="inlineStr"/>
      <c r="J411" s="44" t="inlineStr"/>
      <c r="K411" s="45" t="inlineStr"/>
    </row>
    <row r="412" ht="24" customHeight="1">
      <c r="A412" s="26" t="inlineStr">
        <is>
          <t>Slide 8</t>
        </is>
      </c>
      <c r="B412" s="27" t="inlineStr">
        <is>
          <t>No. 416</t>
        </is>
      </c>
      <c r="C412" s="28" t="inlineStr">
        <is>
          <t>原則 2, 原則 11, 原則 12</t>
        </is>
      </c>
      <c r="D412" s="29" t="inlineStr">
        <is>
          <t>Check if you are the DRI for the question or task when receiving email. if not, you don't need to reply. Bravely to cancel unnecessary meeting. With reason.</t>
        </is>
      </c>
      <c r="E412" s="30" t="inlineStr">
        <is>
          <t>When receiving an email, verify if you are the DRI (Directly Responsible Individual). If not, you do not need to reply. Have the courage to decline or cancel meetings that lack clear value, stating your reasons politely.</t>
        </is>
      </c>
      <c r="F412" s="31" t="inlineStr">
        <is>
          <t>收到郵件時，先確認你是否為該任務的直接負責人（DRI）。若不是，你無須搶著回信。勇敢拒絕或取消無價值的會議，並禮貌地說明理由。</t>
        </is>
      </c>
      <c r="G412" s="32" t="inlineStr">
        <is>
          <t>收著電郵，先看家己到底敢是這項代誌的直接負責人（DRI）。若毋是，毋免搶咧回批；無益無效的冗雜會議勇敢拒絕抑是取消，客氣講明理由。</t>
        </is>
      </c>
      <c r="H412" s="33" t="inlineStr"/>
      <c r="I412" s="29" t="inlineStr"/>
      <c r="J412" s="34" t="inlineStr"/>
      <c r="K412" s="35" t="inlineStr"/>
    </row>
    <row r="413" ht="24" customHeight="1">
      <c r="A413" s="36" t="inlineStr">
        <is>
          <t>Slide 8</t>
        </is>
      </c>
      <c r="B413" s="37" t="inlineStr">
        <is>
          <t>No. 417</t>
        </is>
      </c>
      <c r="C413" s="38" t="inlineStr">
        <is>
          <t>原則 15</t>
        </is>
      </c>
      <c r="D413" s="39" t="inlineStr">
        <is>
          <t>Yearly review and plan for next year. ( should align with your lead. To check if any plan in their mind, if not, why and help yourself. At least plan for yourself. Why do you need to finish this? Energy management.</t>
        </is>
      </c>
      <c r="E413" s="40" t="inlineStr">
        <is>
          <t>Conduct an annual performance review and plan for the next year. Align your roadmap with your manager's expectations; if they lack a plan for you, draft one yourself. Clarify your motivation: Why are you pursuing these goals?</t>
        </is>
      </c>
      <c r="F413" s="41" t="inlineStr">
        <is>
          <t>做好年度總結與明年的計畫。主動與主管對齊路線圖，若主管對你的職涯沒有清晰規劃，你就自己寫一份提案。明確核心動機：你為什麼要完成這些目標？這也是能量管理的一環。</t>
        </is>
      </c>
      <c r="G413" s="42" t="inlineStr">
        <is>
          <t>做好年度盤整佮來年的發展規劃。主動佮主管對齊藍圖；主管若對你無打算，你就家己寫出提案。探究本心：為啥物非做成不可？這是能量管理的根底。</t>
        </is>
      </c>
      <c r="H413" s="43" t="inlineStr"/>
      <c r="I413" s="39" t="inlineStr"/>
      <c r="J413" s="44" t="inlineStr"/>
      <c r="K413" s="45" t="inlineStr"/>
    </row>
    <row r="414" ht="24" customHeight="1">
      <c r="A414" s="26" t="inlineStr">
        <is>
          <t>Slide 8</t>
        </is>
      </c>
      <c r="B414" s="27" t="inlineStr">
        <is>
          <t>No. 418</t>
        </is>
      </c>
      <c r="C414" s="28" t="inlineStr">
        <is>
          <t>原則 9, 原則 10</t>
        </is>
      </c>
      <c r="D414" s="29" t="inlineStr">
        <is>
          <t>Do we have an agreement on this? Directly ask</t>
        </is>
      </c>
      <c r="E414" s="30" t="inlineStr">
        <is>
          <t>Seek explicit alignment directly by asking: 'Do we have a mutual agreement on this point?'</t>
        </is>
      </c>
      <c r="F414" s="31" t="inlineStr">
        <is>
          <t>開誠佈公地主動確認共識：「針對這一點，大家是否已達成一致共識？」</t>
        </is>
      </c>
      <c r="G414" s="32" t="inlineStr">
        <is>
          <t>開門見山直接確認清楚：「針對這个點，咱逐家敢有達成一致的共識？」講白透解，省去後續猜疑摸索。</t>
        </is>
      </c>
      <c r="H414" s="33" t="inlineStr"/>
      <c r="I414" s="29" t="inlineStr"/>
      <c r="J414" s="34" t="inlineStr"/>
      <c r="K414" s="35" t="inlineStr"/>
    </row>
    <row r="415" ht="24" customHeight="1">
      <c r="A415" s="36" t="inlineStr">
        <is>
          <t>Slide 8</t>
        </is>
      </c>
      <c r="B415" s="37" t="inlineStr">
        <is>
          <t>No. 419</t>
        </is>
      </c>
      <c r="C415" s="38" t="inlineStr">
        <is>
          <t>原則 11</t>
        </is>
      </c>
      <c r="D415" s="39" t="inlineStr">
        <is>
          <t>No reply is a reply</t>
        </is>
      </c>
      <c r="E415" s="40" t="inlineStr">
        <is>
          <t>Remember that in professional communication, no response is still a form of response; analyze the silence. (Related to Item 361)</t>
        </is>
      </c>
      <c r="F415" s="41" t="inlineStr">
        <is>
          <t>記住：在職場溝通中，「沒有回覆」本身也是一種表態。</t>
        </is>
      </c>
      <c r="G415" s="42" t="inlineStr">
        <is>
          <t>愛記持：佇職場溝通當中，「無應無答」本身就是一種有聲音的表態。（參照第 361 條）</t>
        </is>
      </c>
      <c r="H415" s="43" t="inlineStr"/>
      <c r="I415" s="39" t="inlineStr"/>
      <c r="J415" s="44" t="inlineStr"/>
      <c r="K415" s="45" t="inlineStr"/>
    </row>
    <row r="416" ht="24" customHeight="1">
      <c r="A416" s="26" t="inlineStr">
        <is>
          <t>Slide 8</t>
        </is>
      </c>
      <c r="B416" s="27" t="inlineStr">
        <is>
          <t>No. 420</t>
        </is>
      </c>
      <c r="C416" s="28" t="inlineStr">
        <is>
          <t>原則 18</t>
        </is>
      </c>
      <c r="D416" s="29" t="inlineStr">
        <is>
          <t>Don’t let negative thing or people easily walk into your mind. Your energy is limited.</t>
        </is>
      </c>
      <c r="E416" s="30" t="inlineStr">
        <is>
          <t>Do not allow negative events or toxic people to occupy your mind. Your mental energy and focus are finite resources; protect them.</t>
        </is>
      </c>
      <c r="F416" s="31" t="inlineStr">
        <is>
          <t>絕不讓消極的人或負面的爛事輕易侵佔你的心智。你的精力和注意力是有限的，必須嚴防死守。</t>
        </is>
      </c>
      <c r="G416" s="32" t="inlineStr">
        <is>
          <t>萬萬莫予消極負面的人抑是孽事輕易踏入你的心門。人一工的精神氣力有限，愛好好共家己的心思防守好勢。</t>
        </is>
      </c>
      <c r="H416" s="33" t="inlineStr"/>
      <c r="I416" s="29" t="inlineStr"/>
      <c r="J416" s="34" t="inlineStr"/>
      <c r="K416" s="35" t="inlineStr"/>
    </row>
    <row r="417" ht="24" customHeight="1">
      <c r="A417" s="36" t="inlineStr">
        <is>
          <t>Slide 8</t>
        </is>
      </c>
      <c r="B417" s="37" t="inlineStr">
        <is>
          <t>No. 421</t>
        </is>
      </c>
      <c r="C417" s="38" t="inlineStr">
        <is>
          <t>原則 10</t>
        </is>
      </c>
      <c r="D417" s="39" t="inlineStr">
        <is>
          <t>Ask yourself if there is any takeaway for this meeting if not why should you join.</t>
        </is>
      </c>
      <c r="E417" s="40" t="inlineStr">
        <is>
          <t>Ask yourself before or during a meeting: "What is my key takeaway from this discussion? If there is none, why am I participating?"</t>
        </is>
      </c>
      <c r="F417" s="41" t="inlineStr">
        <is>
          <t>開會時自問：「這場會議對我有何實質收穫？若毫無價值，我為什麼要坐在這裡浪費時間？」</t>
        </is>
      </c>
      <c r="G417" s="42" t="inlineStr">
        <is>
          <t>開會前定定自問：「這場會對我有啥物實質收穫？若是半點價值攏無，我何必坐佇遮浪費寶貴光陰？」</t>
        </is>
      </c>
      <c r="H417" s="43" t="inlineStr"/>
      <c r="I417" s="39" t="inlineStr"/>
      <c r="J417" s="44" t="inlineStr"/>
      <c r="K417" s="45" t="inlineStr"/>
    </row>
    <row r="418" ht="24" customHeight="1">
      <c r="A418" s="26" t="inlineStr">
        <is>
          <t>Slide 9</t>
        </is>
      </c>
      <c r="B418" s="27" t="inlineStr">
        <is>
          <t>No. 422</t>
        </is>
      </c>
      <c r="C418" s="28" t="inlineStr">
        <is>
          <t>原則 1, 原則 9</t>
        </is>
      </c>
      <c r="D418" s="29" t="inlineStr">
        <is>
          <t>Be aware of the holiday of foreign colleagues (WK52, WK01). Say thank you for greeting. Time zone, Europe US, Indian, Korean.</t>
        </is>
      </c>
      <c r="E418" s="30" t="inlineStr">
        <is>
          <t>Stay mindful of international holiday schedules (e.g., Week 52, Week 01) and time zones across regions like Europe, the US, India, and Korea. Always respond warmly to festive greetings and show respect for global collaboration.</t>
        </is>
      </c>
      <c r="F418" s="31" t="inlineStr">
        <is>
          <t>掌握跨國團隊的假期時程（如第 52 週與第 01 週）與時差（涵蓋歐美、印度、韓國等）。適時給予溫馨的節慶祝賀與感謝，促進跨國合作融洽。</t>
        </is>
      </c>
      <c r="G418" s="32" t="inlineStr">
        <is>
          <t>愛掌握外國同仁的放假時程（親像第 52 週佮第 1 週）佮時差（歐美、印度、韓國等）。拄著節日愛好禮相借問佮多謝，做夥做工課才和合圓滿。</t>
        </is>
      </c>
      <c r="H418" s="33" t="inlineStr"/>
      <c r="I418" s="29" t="inlineStr"/>
      <c r="J418" s="34" t="inlineStr"/>
      <c r="K418" s="35" t="inlineStr"/>
    </row>
    <row r="419" ht="24" customHeight="1">
      <c r="A419" s="36" t="inlineStr">
        <is>
          <t>Slide 9</t>
        </is>
      </c>
      <c r="B419" s="37" t="inlineStr">
        <is>
          <t>No. 423</t>
        </is>
      </c>
      <c r="C419" s="38" t="inlineStr">
        <is>
          <t>原則 11</t>
        </is>
      </c>
      <c r="D419" s="39" t="inlineStr">
        <is>
          <t>What is the way to say no ？ and what is the situation that you can defense your statement and how ？</t>
        </is>
      </c>
      <c r="E419" s="40" t="inlineStr">
        <is>
          <t>Master the professional ways to say "no." Understand when and how to defend your position with logic and data.</t>
        </is>
      </c>
      <c r="F419" s="41" t="inlineStr">
        <is>
          <t>掌握優雅說「不」的職場話術。明確在什麼情境下需要為自己的立場辯護，以及如何用邏輯與數據進行防禦。</t>
        </is>
      </c>
      <c r="G419" s="42" t="inlineStr">
        <is>
          <t>愛學會曉優雅拒絕的講話手腕。想清楚啥物情境著愛企穩家己的立場，講道理、提證據，才袂予人看軟。</t>
        </is>
      </c>
      <c r="H419" s="43" t="inlineStr"/>
      <c r="I419" s="39" t="inlineStr"/>
      <c r="J419" s="44" t="inlineStr"/>
      <c r="K419" s="45" t="inlineStr"/>
    </row>
    <row r="420" ht="24" customHeight="1">
      <c r="A420" s="26" t="inlineStr">
        <is>
          <t>Slide 9</t>
        </is>
      </c>
      <c r="B420" s="27" t="inlineStr">
        <is>
          <t>No. 424</t>
        </is>
      </c>
      <c r="C420" s="28" t="inlineStr">
        <is>
          <t>原則 6, 原則 8</t>
        </is>
      </c>
      <c r="D420" s="29" t="inlineStr">
        <is>
          <t>choose your battle; set a milestone for your projects ( long and short)</t>
        </is>
      </c>
      <c r="E420" s="30" t="inlineStr">
        <is>
          <t>Pick your strategic priorities wisely. Establish clear short-term and long-term milestones for all your ongoing projects.</t>
        </is>
      </c>
      <c r="F420" s="31" t="inlineStr">
        <is>
          <t>明智選擇著力的目標與戰場；為各項專案設定清晰的長短期階段性里程碑。</t>
        </is>
      </c>
      <c r="G420" s="32" t="inlineStr">
        <is>
          <t>著愛看準戰場才落場拚，莫見路就衝。專案愛定出長遠佮近期的關卡標竿，按部就班一步一步穩穩行。</t>
        </is>
      </c>
      <c r="H420" s="33" t="inlineStr"/>
      <c r="I420" s="29" t="inlineStr"/>
      <c r="J420" s="34" t="inlineStr"/>
      <c r="K420" s="35" t="inlineStr"/>
    </row>
    <row r="421" ht="24" customHeight="1">
      <c r="A421" s="36" t="inlineStr">
        <is>
          <t>Slide 9</t>
        </is>
      </c>
      <c r="B421" s="37" t="inlineStr">
        <is>
          <t>No. 425</t>
        </is>
      </c>
      <c r="C421" s="38" t="inlineStr">
        <is>
          <t>原則 16</t>
        </is>
      </c>
      <c r="D421" s="39" t="inlineStr">
        <is>
          <t>Practice and improve your skill set every chance you get. Like presentation, speech.</t>
        </is>
      </c>
      <c r="E421" s="40" t="inlineStr">
        <is>
          <t>Seize every available opportunity to practice and refine your skill sets, such as public speaking and executive presentations.</t>
        </is>
      </c>
      <c r="F421" s="41" t="inlineStr">
        <is>
          <t>把握每一個實戰機會練習並提升自身技能，例如簡報技巧與公開演講能力。</t>
        </is>
      </c>
      <c r="G421" s="42" t="inlineStr">
        <is>
          <t>抓緊每一个會得練習的實戰機會，提拔家己的本事（親像做簡報、公開演講）。平素認真練功，機會若來才企得上台。</t>
        </is>
      </c>
      <c r="H421" s="43" t="inlineStr"/>
      <c r="I421" s="39" t="inlineStr"/>
      <c r="J421" s="44" t="inlineStr"/>
      <c r="K421" s="45" t="inlineStr"/>
    </row>
    <row r="422" ht="24" customHeight="1">
      <c r="A422" s="26" t="inlineStr">
        <is>
          <t>Slide 9</t>
        </is>
      </c>
      <c r="B422" s="27" t="inlineStr">
        <is>
          <t>No. 426</t>
        </is>
      </c>
      <c r="C422" s="28" t="inlineStr">
        <is>
          <t>原則 16</t>
        </is>
      </c>
      <c r="D422" s="29" t="inlineStr">
        <is>
          <t>Try to learn new things but not for everything. stay focus . Every year, do a special thing which you never do.</t>
        </is>
      </c>
      <c r="E422" s="30" t="inlineStr">
        <is>
          <t>Stay focused and select what you learn rather than trying to master everything. Make it a point to try something completely new and unique every year.</t>
        </is>
      </c>
      <c r="F422" s="31" t="inlineStr">
        <is>
          <t>保持專注，學習要有所選擇而非貪多。每年給自己規劃一項從未嘗試過的特別體驗或挑戰。</t>
        </is>
      </c>
      <c r="G422" s="32" t="inlineStr">
        <is>
          <t>做人著愛專心，學新物莫貪濟；每年替家己安排一項從來無做過的特別挑戰，開闊眼界。</t>
        </is>
      </c>
      <c r="H422" s="33" t="inlineStr"/>
      <c r="I422" s="29" t="inlineStr"/>
      <c r="J422" s="34" t="inlineStr"/>
      <c r="K422" s="35" t="inlineStr"/>
    </row>
    <row r="423" ht="24" customHeight="1">
      <c r="A423" s="36" t="inlineStr">
        <is>
          <t>Slide 9</t>
        </is>
      </c>
      <c r="B423" s="37" t="inlineStr">
        <is>
          <t>No. 427</t>
        </is>
      </c>
      <c r="C423" s="38" t="inlineStr">
        <is>
          <t>原則 18, 原則 19</t>
        </is>
      </c>
      <c r="D423" s="39" t="inlineStr">
        <is>
          <t>Non player characteristic /分人 / save your energy ; item424</t>
        </is>
      </c>
      <c r="E423" s="40" t="inlineStr">
        <is>
          <t>Adopt an observer mindset; refrain from taking things personally, delegate or categorize people appropriately, and conserve your energy.</t>
        </is>
      </c>
      <c r="F423" s="41" t="inlineStr">
        <is>
          <t>保持旁觀者（非玩家）的心態，學會看人與分工，避免無謂的情緒消耗以節省精力。</t>
        </is>
      </c>
      <c r="G423" s="42" t="inlineStr">
        <is>
          <t>保持局外人的客觀，莫共逐件代誌攏攬佇身軀。學會曉分工看人，省下無彩的氣力留去做正經代誌。（照參第 424 項）</t>
        </is>
      </c>
      <c r="H423" s="43" t="inlineStr"/>
      <c r="I423" s="39" t="inlineStr"/>
      <c r="J423" s="44" t="inlineStr"/>
      <c r="K423" s="45" t="inlineStr"/>
    </row>
    <row r="424" ht="24" customHeight="1">
      <c r="A424" s="26" t="inlineStr">
        <is>
          <t>Slide 9</t>
        </is>
      </c>
      <c r="B424" s="27" t="inlineStr">
        <is>
          <t>No. 428</t>
        </is>
      </c>
      <c r="C424" s="28" t="inlineStr">
        <is>
          <t>原則 2</t>
        </is>
      </c>
      <c r="D424" s="29" t="inlineStr">
        <is>
          <t>No more email reply during weekend. Close email alert in your cell phone</t>
        </is>
      </c>
      <c r="E424" s="30" t="inlineStr">
        <is>
          <t>Stop replying to emails over the weekend and turn off work email notifications on your mobile phone.</t>
        </is>
      </c>
      <c r="F424" s="31" t="inlineStr">
        <is>
          <t>週末不再回覆工作郵件，並關閉手機上的郵件即時通知。</t>
        </is>
      </c>
      <c r="G424" s="32" t="inlineStr">
        <is>
          <t>禮拜放假莫閣回公事的批信，手機仔的郵件通知共關掉。該歇睏的時陣著愛好好歇睏，才有氣力行長遠的路。</t>
        </is>
      </c>
      <c r="H424" s="33" t="inlineStr"/>
      <c r="I424" s="29" t="inlineStr"/>
      <c r="J424" s="34" t="inlineStr"/>
      <c r="K424" s="35" t="inlineStr"/>
    </row>
    <row r="425" ht="24" customHeight="1">
      <c r="A425" s="36" t="inlineStr">
        <is>
          <t>Slide 9</t>
        </is>
      </c>
      <c r="B425" s="37" t="inlineStr">
        <is>
          <t>No. 429</t>
        </is>
      </c>
      <c r="C425" s="38" t="inlineStr">
        <is>
          <t>原則 13, 原則 18</t>
        </is>
      </c>
      <c r="D425" s="39" t="inlineStr">
        <is>
          <t>You don't need to take everything on your shoulder.</t>
        </is>
      </c>
      <c r="E425" s="40" t="inlineStr">
        <is>
          <t>Remember that you do not need to carry the weight of every team problem on your shoulders.</t>
        </is>
      </c>
      <c r="F425" s="41" t="inlineStr">
        <is>
          <t>認清界限：你不需要把團隊的所有問題都一個人扛在肩上。</t>
        </is>
      </c>
      <c r="G425" s="42" t="inlineStr">
        <is>
          <t>分寸愛撙節好：你毋免共全團隊所有的重擔，攏一人夯佇肩胛頭頂硬扛。</t>
        </is>
      </c>
      <c r="H425" s="43" t="inlineStr"/>
      <c r="I425" s="39" t="inlineStr"/>
      <c r="J425" s="44" t="inlineStr"/>
      <c r="K425" s="45" t="inlineStr"/>
    </row>
    <row r="426" ht="24" customHeight="1">
      <c r="A426" s="26" t="inlineStr">
        <is>
          <t>Slide 9</t>
        </is>
      </c>
      <c r="B426" s="27" t="inlineStr">
        <is>
          <t>No. 430</t>
        </is>
      </c>
      <c r="C426" s="28" t="inlineStr">
        <is>
          <t>原則 18</t>
        </is>
      </c>
      <c r="D426" s="29" t="inlineStr">
        <is>
          <t>GET BACK UP! It's time to take control of your life! / buy your time back. (mind simulation / Scenario Simulation) If then policy change / earthquake / typhoon / war / electricity shut down / economic crisis / virus attach… If received an emotional email, delete them. If someone said negative things get out of there quickly. If stock goes down, re-read the sentence you likes. If schedule delayed If get sicked, take rests. If you feel unhappy (emotionally bad), ( why? go run ) combling. If you feel frustrated/stressed, cannot achieve what you want. If people don’t get your point, pause. If people get angry with you</t>
        </is>
      </c>
      <c r="E426" s="30" t="inlineStr">
        <is>
          <t>Stand up and reclaim control of your life! Buy back your personal time through mental and scenario simulations for contingencies (e.g., policy shifts, natural disasters, blackouts, economic downturns, or health crises). Establish automated 'If-Then' responses: delete emotionally charged emails; distance yourself immediately from negativity; re-read uplifting quotes when investments drop; rest when ill; run or practice self-care when feeling down; pause when misunderstood or facing conflict; and stay resilient under stress.</t>
        </is>
      </c>
      <c r="F426" s="31" t="inlineStr">
        <is>
          <t>振作起來！掌控自己的人生並贏回時間。平時做好情境模擬與預案（如政策變動、天災人禍、經濟危機等）。建立「若…就…」的心態機制：收到帶情緒的信件直接刪除，遇到負能量的人迅速遠離，股市下跌時重溫心靈語錄，生病時徹底休息，心情低落時去跑步解壓，溝通受阻或他人生氣時適時停頓，化解挫折與壓力。</t>
        </is>
      </c>
      <c r="G426" s="32" t="inlineStr">
        <is>
          <t>精神共振作起來！家己的人生家己做主，買轉家己的時間。平素先盤算好各種風浪變化的應變法（政策變、天災、景氣歹）。心內定好套路：收著氣噗噗的批信直接共刪掉，拄著散播負能量的人緊閃予遠，股票若跌就重讀佮意的金句，破病就倒落好好歇睏，心內鬱卒就出門走標流汗，人若無了解抑是發性地就先停落來。穩當應對，天袂烏暗。</t>
        </is>
      </c>
      <c r="H426" s="33" t="inlineStr"/>
      <c r="I426" s="29" t="inlineStr"/>
      <c r="J426" s="34" t="inlineStr"/>
      <c r="K426" s="35" t="inlineStr"/>
    </row>
    <row r="427" ht="24" customHeight="1">
      <c r="A427" s="36" t="inlineStr">
        <is>
          <t>Slide 9</t>
        </is>
      </c>
      <c r="B427" s="37" t="inlineStr">
        <is>
          <t>No. 431</t>
        </is>
      </c>
      <c r="C427" s="38" t="inlineStr">
        <is>
          <t>原則 20</t>
        </is>
      </c>
      <c r="D427" s="39" t="inlineStr">
        <is>
          <t>Play with fun, it is hard but try.</t>
        </is>
      </c>
      <c r="E427" s="40" t="inlineStr">
        <is>
          <t>Approach your work and tasks with a sense of fun and playfulness; though challenging, it is worth trying.</t>
        </is>
      </c>
      <c r="F427" s="41" t="inlineStr">
        <is>
          <t>抱持玩樂與趣味的心態看待挑戰，雖然不容易，但值得努力嘗試。</t>
        </is>
      </c>
      <c r="G427" s="42" t="inlineStr">
        <is>
          <t>用趣味佮歡喜的心來看待挑戰；代誌雖然無簡單，猶是值得盡心試看覓。</t>
        </is>
      </c>
      <c r="H427" s="43" t="inlineStr"/>
      <c r="I427" s="39" t="inlineStr"/>
      <c r="J427" s="44" t="inlineStr"/>
      <c r="K427" s="45" t="inlineStr"/>
    </row>
    <row r="428" ht="24" customHeight="1">
      <c r="A428" s="26" t="inlineStr">
        <is>
          <t>Slide 9</t>
        </is>
      </c>
      <c r="B428" s="27" t="inlineStr">
        <is>
          <t>No. 432</t>
        </is>
      </c>
      <c r="C428" s="28" t="inlineStr">
        <is>
          <t>原則 20</t>
        </is>
      </c>
      <c r="D428" s="29" t="inlineStr">
        <is>
          <t>Invest your interest no matter spending money or time. Try to make it as part of profession. ( which project…)</t>
        </is>
      </c>
      <c r="E428" s="30" t="inlineStr">
        <is>
          <t>Invest time and money into your personal interests, and strive to integrate them into your professional skill set or career projects.</t>
        </is>
      </c>
      <c r="F428" s="31" t="inlineStr">
        <is>
          <t>無論投入時間或金錢，都要認真經營自己的興趣，並嘗試將其轉化為專業能力或實際專案的一環。</t>
        </is>
      </c>
      <c r="G428" s="32" t="inlineStr">
        <is>
          <t>無論是開錢抑是開時間，攏愛認真照顧家己的興趣，落底功夫共變做專業本領的一部分。</t>
        </is>
      </c>
      <c r="H428" s="33" t="inlineStr"/>
      <c r="I428" s="29" t="inlineStr"/>
      <c r="J428" s="34" t="inlineStr"/>
      <c r="K428" s="35" t="inlineStr"/>
    </row>
    <row r="429" ht="24" customHeight="1">
      <c r="A429" s="36" t="inlineStr">
        <is>
          <t>Slide 9</t>
        </is>
      </c>
      <c r="B429" s="37" t="inlineStr">
        <is>
          <t>No. 433</t>
        </is>
      </c>
      <c r="C429" s="38" t="inlineStr">
        <is>
          <t>原則 20</t>
        </is>
      </c>
      <c r="D429" s="39" t="inlineStr">
        <is>
          <t>Spend time to be alone, listen music you like, scared time for working time or in private time. To do what you want to do. Or had time to develop other skill. 認捌家己, check your list.</t>
        </is>
      </c>
      <c r="E429" s="40" t="inlineStr">
        <is>
          <t>Reserve sacred, undisturbed quiet time—whether at work or in private—to be alone, listen to your favorite music, pursue personal goals, or develop new skills. Know yourself and regularly review your goals list.</t>
        </is>
      </c>
      <c r="F429" s="41" t="inlineStr">
        <is>
          <t>預留神聖的獨處時間（包含工作與私人時間），聽喜歡的音樂、做想做的事或開發第二專長。深入認識自己，定期檢視目標清單。</t>
        </is>
      </c>
      <c r="G429" s="42" t="inlineStr">
        <is>
          <t>留一段無人吵的神聖時間予家己，不管是做工課抑是私底下的時間。聽意愛的音樂、做想做的代誌、練第二項手藝。認捌家己，定時對照心內的目標清單。</t>
        </is>
      </c>
      <c r="H429" s="43" t="inlineStr"/>
      <c r="I429" s="39" t="inlineStr"/>
      <c r="J429" s="44" t="inlineStr"/>
      <c r="K429" s="45" t="inlineStr"/>
    </row>
    <row r="430" ht="24" customHeight="1">
      <c r="A430" s="26" t="inlineStr">
        <is>
          <t>Slide 9</t>
        </is>
      </c>
      <c r="B430" s="27" t="inlineStr">
        <is>
          <t>No. 434</t>
        </is>
      </c>
      <c r="C430" s="28" t="inlineStr">
        <is>
          <t>原則 17</t>
        </is>
      </c>
      <c r="D430" s="29" t="inlineStr">
        <is>
          <t>What if you got fired, how soon you can find another job?(投保月給6,8成, 晟養人數, 報稅) Or store your achievement with you? Do you have margin of error? How long can you survive, any resource? How many money you can get? Continuously improvement progress.</t>
        </is>
      </c>
      <c r="E430" s="30" t="inlineStr">
        <is>
          <t>Prepare for risk by evaluating your margin for error: If laid off, how quickly can you secure a new job? What are your government unemployment benefits (e.g., 60–80% of insured salary based on dependents)? Have you documented your track record of achievements? How long can your emergency funds and resources sustain you? Continually improve your readiness.</t>
        </is>
      </c>
      <c r="F430" s="31" t="inlineStr">
        <is>
          <t>隨時評估失業風險與容錯空間：若被解僱，多快能找到新工作？是否清楚失業給付（如按投保薪資6至8成發給、扶養親屬加給）及報稅狀況？個人的工作成就是否妥善歸檔帶走？個人資金與資源能支撐多久？持續優化自我轉職與避險能力。</t>
        </is>
      </c>
      <c r="G430" s="32" t="inlineStr">
        <is>
          <t>隨時盤算無頭路的風險佮退路：假使予人辭頭路，偌緊會當揣著新頭路？失業給付（投保薪俸六至八成、晟養人數加成）佮報稅的規矩敢有熟似？家己的戰果成績敢有好好收好？身邊的本錢會當擋幾个月？定定鍛鍊轉職佮避風浪的本事，臨渴才袂掘井。</t>
        </is>
      </c>
      <c r="H430" s="33" t="inlineStr"/>
      <c r="I430" s="29" t="inlineStr"/>
      <c r="J430" s="34" t="inlineStr"/>
      <c r="K430" s="35" t="inlineStr"/>
    </row>
    <row r="431" ht="24" customHeight="1">
      <c r="A431" s="36" t="inlineStr">
        <is>
          <t>Slide 9</t>
        </is>
      </c>
      <c r="B431" s="37" t="inlineStr">
        <is>
          <t>No. 435</t>
        </is>
      </c>
      <c r="C431" s="38" t="inlineStr">
        <is>
          <t>原則 20</t>
        </is>
      </c>
      <c r="D431" s="39" t="inlineStr">
        <is>
          <t>Spend time on other field / your favorite and release your stress. ( SPIRE) , try to get some solid result.</t>
        </is>
      </c>
      <c r="E431" s="40" t="inlineStr">
        <is>
          <t>Dedicate time to fields outside of work and hobbies to relieve stress (using the SPIRE wellness framework), and strive to achieve solid, measurable results.</t>
        </is>
      </c>
      <c r="F431" s="41" t="inlineStr">
        <is>
          <t>將時間投在工作以外的興趣領域以排解壓力（參考 SPIRE 身心靈平衡指標），並努力取得具體、有成就感的結果。</t>
        </is>
      </c>
      <c r="G431" s="42" t="inlineStr">
        <is>
          <t>共時間撥予頭路以外的興趣領域來解鬱消氣（參考 SPIRE 身心靈平衡指標），閣愛認真拚出看有影、摸會著的扎實成果。</t>
        </is>
      </c>
      <c r="H431" s="43" t="inlineStr"/>
      <c r="I431" s="39" t="inlineStr"/>
      <c r="J431" s="44" t="inlineStr"/>
      <c r="K431" s="45" t="inlineStr"/>
    </row>
    <row r="432" ht="24" customHeight="1">
      <c r="A432" s="26" t="inlineStr">
        <is>
          <t>Slide 9</t>
        </is>
      </c>
      <c r="B432" s="27" t="inlineStr">
        <is>
          <t>No. 436</t>
        </is>
      </c>
      <c r="C432" s="28" t="inlineStr">
        <is>
          <t>原則 4, 原則 19</t>
        </is>
      </c>
      <c r="D432" s="29" t="inlineStr">
        <is>
          <t>Increase the mobility. Use cellphone to get whatever information you need. Use tools in the cloud. ( be careful digital toxic, addition.)</t>
        </is>
      </c>
      <c r="E432" s="30" t="inlineStr">
        <is>
          <t>Enhance your operational mobility by leveraging mobile devices and cloud tools for quick information access, while remaining mindful of digital fatigue and addiction.</t>
        </is>
      </c>
      <c r="F432" s="31" t="inlineStr">
        <is>
          <t>提升行動與工作靈活性，善用手機與雲端工具隨時獲取資訊，但須注意避免數位成癮與資訊過載。</t>
        </is>
      </c>
      <c r="G432" s="32" t="inlineStr">
        <is>
          <t>善用手機仔佮雲端工具增加做事走跳的活絡；毋過著愛斟酌，莫予數位資訊綁死死、沉迷成癮，適時愛抽離出來。</t>
        </is>
      </c>
      <c r="H432" s="33" t="inlineStr"/>
      <c r="I432" s="29" t="inlineStr"/>
      <c r="J432" s="34" t="inlineStr"/>
      <c r="K432" s="35" t="inlineStr"/>
    </row>
    <row r="433" ht="24" customHeight="1">
      <c r="A433" s="36" t="inlineStr">
        <is>
          <t>Slide 9</t>
        </is>
      </c>
      <c r="B433" s="37" t="inlineStr">
        <is>
          <t>No. 437</t>
        </is>
      </c>
      <c r="C433" s="38" t="inlineStr">
        <is>
          <t>原則 12, 原則 14</t>
        </is>
      </c>
      <c r="D433" s="39" t="inlineStr">
        <is>
          <t>Don’t tell your boss whom you don’t like because they will feel. Let bullet fly.</t>
        </is>
      </c>
      <c r="E433" s="40" t="inlineStr">
        <is>
          <t>Never confide in your boss about colleagues you dislike—they will sense your bias anyway. Be patient and let situations play out naturally ('let the bullets fly').</t>
        </is>
      </c>
      <c r="F433" s="41" t="inlineStr">
        <is>
          <t>切勿向主管透露你厭惡誰，因為主管終究會察覺你的偏見。保持平靜，讓子彈飛一會兒，靜觀其變。</t>
        </is>
      </c>
      <c r="G433" s="42" t="inlineStr">
        <is>
          <t>千千萬萬莫對主管怨嘆你看誰無順眼，頭家心內早就有數。拄著是非爭執著愛沉著，予銃子飛一時仔，靜靜看風向按怎變。</t>
        </is>
      </c>
      <c r="H433" s="43" t="inlineStr"/>
      <c r="I433" s="39" t="inlineStr"/>
      <c r="J433" s="44" t="inlineStr"/>
      <c r="K433" s="45" t="inlineStr"/>
    </row>
    <row r="434" ht="24" customHeight="1">
      <c r="A434" s="26" t="inlineStr">
        <is>
          <t>Slide 9</t>
        </is>
      </c>
      <c r="B434" s="27" t="inlineStr">
        <is>
          <t>No. 438</t>
        </is>
      </c>
      <c r="C434" s="28" t="inlineStr">
        <is>
          <t>原則 12, 原則 13</t>
        </is>
      </c>
      <c r="D434" s="29" t="inlineStr">
        <is>
          <t>You can speak frankly, in only your position’s view.</t>
        </is>
      </c>
      <c r="E434" s="30" t="inlineStr">
        <is>
          <t>You can speak frankly, but ensure your statements are framed strictly within the scope and perspective of your current position.</t>
        </is>
      </c>
      <c r="F434" s="31" t="inlineStr">
        <is>
          <t>你可以直言不諱，但務必確保發言立場嚴格限定在你自己崗位的職責與視角範圍內。</t>
        </is>
      </c>
      <c r="G434" s="32" t="inlineStr">
        <is>
          <t>講話坦白直接無相干，毋過開喙著愛牢守家己職位的本份佮角度，莫踰越範圍去插別人的田界。</t>
        </is>
      </c>
      <c r="H434" s="33" t="inlineStr"/>
      <c r="I434" s="29" t="inlineStr"/>
      <c r="J434" s="34" t="inlineStr"/>
      <c r="K434" s="35" t="inlineStr"/>
    </row>
    <row r="435" ht="24" customHeight="1">
      <c r="A435" s="36" t="inlineStr">
        <is>
          <t>Slide 9</t>
        </is>
      </c>
      <c r="B435" s="37" t="inlineStr">
        <is>
          <t>No. 439</t>
        </is>
      </c>
      <c r="C435" s="38" t="inlineStr">
        <is>
          <t>原則 18, 原則 19</t>
        </is>
      </c>
      <c r="D435" s="39" t="inlineStr">
        <is>
          <t>Don’t suffer issues alone, you can call help. Or take a rest.</t>
        </is>
      </c>
      <c r="E435" s="40" t="inlineStr">
        <is>
          <t>Do not struggle with difficult issues alone. Escalate and ask for help early, or take a temporary rest to clear your mind.</t>
        </is>
      </c>
      <c r="F435" s="41" t="inlineStr">
        <is>
          <t>遇到難關時別自己死扛。主動舉手尋求資源協助，或適當給自己放個假以重整旗鼓。</t>
        </is>
      </c>
      <c r="G435" s="42" t="inlineStr">
        <is>
          <t>拄著大難關莫一人死頂硬扛。緊早舉手叫人鬥相共，抑是停跤歇睏幾工，重整旗鼓閣來拚。</t>
        </is>
      </c>
      <c r="H435" s="43" t="inlineStr"/>
      <c r="I435" s="39" t="inlineStr"/>
      <c r="J435" s="44" t="inlineStr"/>
      <c r="K435" s="45" t="inlineStr"/>
    </row>
    <row r="436" ht="24" customHeight="1">
      <c r="A436" s="26" t="inlineStr">
        <is>
          <t>Slide 9</t>
        </is>
      </c>
      <c r="B436" s="27" t="inlineStr">
        <is>
          <t>No. 440</t>
        </is>
      </c>
      <c r="C436" s="28" t="inlineStr">
        <is>
          <t>原則 8, 原則 16</t>
        </is>
      </c>
      <c r="D436" s="29" t="inlineStr">
        <is>
          <t>Learn the way manager talks. 5 years plan</t>
        </is>
      </c>
      <c r="E436" s="30" t="inlineStr">
        <is>
          <t>Adopt the communication style and strategic perspective of management, including thinking in terms of long-term (e.g., 5-year) plans.</t>
        </is>
      </c>
      <c r="F436" s="31" t="inlineStr">
        <is>
          <t>學習管理者的思維模式與溝通話術，並養成以五年長期計畫構思全局的習慣。</t>
        </is>
      </c>
      <c r="G436" s="32" t="inlineStr">
        <is>
          <t>學主管管事講話的角度佮手腕；腦底愛有五年的長遠盤算，站得懸才看會闊。</t>
        </is>
      </c>
      <c r="H436" s="33" t="inlineStr"/>
      <c r="I436" s="29" t="inlineStr"/>
      <c r="J436" s="34" t="inlineStr"/>
      <c r="K436" s="35" t="inlineStr"/>
    </row>
    <row r="437" ht="24" customHeight="1">
      <c r="A437" s="36" t="inlineStr">
        <is>
          <t>Slide 9</t>
        </is>
      </c>
      <c r="B437" s="37" t="inlineStr">
        <is>
          <t>No. 441</t>
        </is>
      </c>
      <c r="C437" s="38" t="inlineStr">
        <is>
          <t>原則 20</t>
        </is>
      </c>
      <c r="D437" s="39" t="inlineStr">
        <is>
          <t>How many leaves and floating leaves / yearly plan / monthly</t>
        </is>
      </c>
      <c r="E437" s="40" t="inlineStr">
        <is>
          <t>Keep track of your total statutory leave, flexible days off, and annual/monthly leave planning.</t>
        </is>
      </c>
      <c r="F437" s="41" t="inlineStr">
        <is>
          <t>掌握個人的特休、彈性假總額，並妥善進行年度與月度排假規劃。</t>
        </is>
      </c>
      <c r="G437" s="42" t="inlineStr">
        <is>
          <t>家己有幾工特休佮彈性假愛算甲清清楚楚。照年照月提早排好歇假計畫，照顧身軀佮顧好家庭。</t>
        </is>
      </c>
      <c r="H437" s="43" t="inlineStr"/>
      <c r="I437" s="39" t="inlineStr"/>
      <c r="J437" s="44" t="inlineStr"/>
      <c r="K437" s="45" t="inlineStr"/>
    </row>
    <row r="438" ht="24" customHeight="1">
      <c r="A438" s="26" t="inlineStr">
        <is>
          <t>Slide 9</t>
        </is>
      </c>
      <c r="B438" s="27" t="inlineStr">
        <is>
          <t>No. 442</t>
        </is>
      </c>
      <c r="C438" s="28" t="inlineStr">
        <is>
          <t>原則 20</t>
        </is>
      </c>
      <c r="D438" s="29" t="inlineStr">
        <is>
          <t>80 percentage salary for sick leave. ( it depends on policy)</t>
        </is>
      </c>
      <c r="E438" s="30" t="inlineStr">
        <is>
          <t>Understand your company's leave benefit policies, such as sick leave pay ratio (e.g., 80% salary or statutory half-pay).</t>
        </is>
      </c>
      <c r="F438" s="31" t="inlineStr">
        <is>
          <t>清楚瞭解公司各類假別的給薪制度（如病薪扣給付比例或相關法規規定）。</t>
        </is>
      </c>
      <c r="G438" s="32" t="inlineStr">
        <is>
          <t>對公司請假算薪俸的規矩愛徹底摸清，病假領幾成愛有數，顧好家己的血汗錢佮權益。</t>
        </is>
      </c>
      <c r="H438" s="33" t="inlineStr"/>
      <c r="I438" s="29" t="inlineStr"/>
      <c r="J438" s="34" t="inlineStr"/>
      <c r="K438" s="35" t="inlineStr"/>
    </row>
    <row r="439" ht="24" customHeight="1">
      <c r="A439" s="36" t="inlineStr">
        <is>
          <t>Slide 9</t>
        </is>
      </c>
      <c r="B439" s="37" t="inlineStr">
        <is>
          <t>No. 443</t>
        </is>
      </c>
      <c r="C439" s="38" t="inlineStr">
        <is>
          <t>原則 20</t>
        </is>
      </c>
      <c r="D439" s="39" t="inlineStr">
        <is>
          <t>Find your battle. Same in 424</t>
        </is>
      </c>
      <c r="E439" s="40" t="inlineStr">
        <is>
          <t>Choose your battles wisely; focus energy only on high-leverage and high-priority challenges.</t>
        </is>
      </c>
      <c r="F439" s="41" t="inlineStr">
        <is>
          <t>選擇屬於你的主戰場，將資源與精力聚焦於最具價值的核心目標。</t>
        </is>
      </c>
      <c r="G439" s="42" t="inlineStr">
        <is>
          <t>揣著屬於家己的主戰場才去拚。氣力有限，愛集中用佇上蓋有價值、上要緊的刀口頂。（對照第 424 條）</t>
        </is>
      </c>
      <c r="H439" s="43" t="inlineStr"/>
      <c r="I439" s="39" t="inlineStr"/>
      <c r="J439" s="44" t="inlineStr"/>
      <c r="K439" s="45" t="inlineStr"/>
    </row>
    <row r="440" ht="24" customHeight="1">
      <c r="A440" s="26" t="inlineStr">
        <is>
          <t>Slide 9</t>
        </is>
      </c>
      <c r="B440" s="27" t="inlineStr">
        <is>
          <t>No. 444</t>
        </is>
      </c>
      <c r="C440" s="28" t="inlineStr">
        <is>
          <t>原則 20</t>
        </is>
      </c>
      <c r="D440" s="29" t="inlineStr">
        <is>
          <t>Try to forget the work stuff after leaving office is hot it's hard but please try.</t>
        </is>
      </c>
      <c r="E440" s="30" t="inlineStr">
        <is>
          <t>Make a conscious effort to forget about work once you leave the office. It is challenging, but critical for mental recovery.</t>
        </is>
      </c>
      <c r="F440" s="31" t="inlineStr">
        <is>
          <t>踏出辦公室後，努力強迫自己忘掉工作瑣事。這很難，但對大腦的修復至關重要。</t>
        </is>
      </c>
      <c r="G440" s="32" t="inlineStr">
        <is>
          <t>行出辦公室的大門，著愛下決心共工課瑣碎的代誌放予清氣。這項功夫雖然歹練，毋過對頭殼的修補調養有夠要緊。</t>
        </is>
      </c>
      <c r="H440" s="33" t="inlineStr"/>
      <c r="I440" s="29" t="inlineStr"/>
      <c r="J440" s="34" t="inlineStr"/>
      <c r="K440" s="35" t="inlineStr"/>
    </row>
    <row r="441" ht="24" customHeight="1">
      <c r="A441" s="36" t="inlineStr">
        <is>
          <t>Slide 9</t>
        </is>
      </c>
      <c r="B441" s="37" t="inlineStr">
        <is>
          <t>No. 445</t>
        </is>
      </c>
      <c r="C441" s="38" t="inlineStr">
        <is>
          <t>原則 20</t>
        </is>
      </c>
      <c r="D441" s="39" t="inlineStr">
        <is>
          <t>Spend more energy in time important things</t>
        </is>
      </c>
      <c r="E441" s="40" t="inlineStr">
        <is>
          <t>Allocate a larger share of your time and effort to high-value, high-importance tasks.</t>
        </is>
      </c>
      <c r="F441" s="41" t="inlineStr">
        <is>
          <t>將更多時間與心力傾注在真正重要且具長期價值的關鍵事項上。</t>
        </is>
      </c>
      <c r="G441" s="42" t="inlineStr">
        <is>
          <t>共上寶貴的時間佮心神，灌注佇真正要緊、有長遠價值的關鍵代誌項。</t>
        </is>
      </c>
      <c r="H441" s="43" t="inlineStr"/>
      <c r="I441" s="39" t="inlineStr"/>
      <c r="J441" s="44" t="inlineStr"/>
      <c r="K441" s="45" t="inlineStr"/>
    </row>
    <row r="442" ht="24" customHeight="1">
      <c r="A442" s="26" t="inlineStr">
        <is>
          <t>Slide 9</t>
        </is>
      </c>
      <c r="B442" s="27" t="inlineStr">
        <is>
          <t>No. 446</t>
        </is>
      </c>
      <c r="C442" s="28" t="inlineStr">
        <is>
          <t>原則 20</t>
        </is>
      </c>
      <c r="D442" s="29" t="inlineStr">
        <is>
          <t>Take one week off after Luⁿar new year .adjust children schedule. ( April, September) Travel plan or list to show the places wants to visit, need list the holiday plan. Check previous agenda. What can be added next time.</t>
        </is>
      </c>
      <c r="E442" s="30" t="inlineStr">
        <is>
          <t>Plan a one-week break after Lunar New Year to sync with children's key school milestones (e.g., April and September). Maintain a travel wishlist and vacation agenda, reviewing past trips to continuously improve future plans.</t>
        </is>
      </c>
      <c r="F442" s="31" t="inlineStr">
        <is>
          <t>農曆年後安排一週休假以調整孩子的新學期作息（關注四月與九月關鍵期）。列出旅遊願望清單與排假計畫，並回顧過往行程以持續優化。</t>
        </is>
      </c>
      <c r="G442" s="32" t="inlineStr">
        <is>
          <t>過年了後排歇假一禮拜，陪伴囡仔調節開學的作息（斟酌四月佮九月的關鍵期）。寫出想欲出外四界行行、遊賞的清單佮排假日程，檢討過往行程，後回出門才閣較四序。</t>
        </is>
      </c>
      <c r="H442" s="33" t="inlineStr"/>
      <c r="I442" s="29" t="inlineStr"/>
      <c r="J442" s="34" t="inlineStr"/>
      <c r="K442" s="35" t="inlineStr"/>
    </row>
    <row r="443" ht="24" customHeight="1">
      <c r="A443" s="36" t="inlineStr">
        <is>
          <t>Slide 9</t>
        </is>
      </c>
      <c r="B443" s="37" t="inlineStr">
        <is>
          <t>No. 447</t>
        </is>
      </c>
      <c r="C443" s="38" t="inlineStr">
        <is>
          <t>原則 12, 原則 13</t>
        </is>
      </c>
      <c r="D443" s="39" t="inlineStr">
        <is>
          <t>Don't even believe your colleague and any promise from your managers</t>
        </is>
      </c>
      <c r="E443" s="40" t="inlineStr">
        <is>
          <t>Maintain professional skepticism: never place absolute faith in casual promises from colleagues or managers until they are documented.</t>
        </is>
      </c>
      <c r="F443" s="41" t="inlineStr">
        <is>
          <t>保持職場理性懷疑度：在落實為書面合規記錄前，不要盲目信奉同事或主管的口頭承諾。</t>
        </is>
      </c>
      <c r="G443" s="42" t="inlineStr">
        <is>
          <t>佇職場愛保持理性：白紙黑字猶未寫明進前，莫戇戇全盤盡信同仁抑是主管的喙空開支票。</t>
        </is>
      </c>
      <c r="H443" s="43" t="inlineStr"/>
      <c r="I443" s="39" t="inlineStr"/>
      <c r="J443" s="44" t="inlineStr"/>
      <c r="K443" s="45" t="inlineStr"/>
    </row>
    <row r="444" ht="24" customHeight="1">
      <c r="A444" s="26" t="inlineStr">
        <is>
          <t>Slide 9</t>
        </is>
      </c>
      <c r="B444" s="27" t="inlineStr">
        <is>
          <t>No. 448</t>
        </is>
      </c>
      <c r="C444" s="28" t="inlineStr">
        <is>
          <t>原則 4</t>
        </is>
      </c>
      <c r="D444" s="29" t="inlineStr">
        <is>
          <t>Try to move electrical notes obsidian in the office， into obsidian cloud sync.( GitHub)</t>
        </is>
      </c>
      <c r="E444" s="30" t="inlineStr">
        <is>
          <t>Migrate your digital notes (e.g., Obsidian) from office computers to a secure cloud synchronization tool or GitHub repository.</t>
        </is>
      </c>
      <c r="F444" s="31" t="inlineStr">
        <is>
          <t>將辦公室電腦中的 Obsidian 電子筆記同步至雲端（如 GitHub），建立可隨時調用的知識庫。</t>
        </is>
      </c>
      <c r="G444" s="32" t="inlineStr">
        <is>
          <t>共辦公室電腦內的 Obsidian 電子筆記做好雲端同步（親像 GitHub），起造隨時隨地翻查會著的智識庫。</t>
        </is>
      </c>
      <c r="H444" s="33" t="inlineStr"/>
      <c r="I444" s="29" t="inlineStr"/>
      <c r="J444" s="34" t="inlineStr"/>
      <c r="K444" s="35" t="inlineStr"/>
    </row>
    <row r="445" ht="24" customHeight="1">
      <c r="A445" s="36" t="inlineStr">
        <is>
          <t>Slide 9</t>
        </is>
      </c>
      <c r="B445" s="37" t="inlineStr">
        <is>
          <t>No. 449</t>
        </is>
      </c>
      <c r="C445" s="38" t="inlineStr">
        <is>
          <t>原則 3</t>
        </is>
      </c>
      <c r="D445" s="39" t="inlineStr">
        <is>
          <t>Plot template, table template, automation.</t>
        </is>
      </c>
      <c r="E445" s="40" t="inlineStr">
        <is>
          <t>Develop standardized chart and table templates to automate data visualization and presentation tasks.</t>
        </is>
      </c>
      <c r="F445" s="41" t="inlineStr">
        <is>
          <t>整理並建立常用的圖表與表格範本，以實現數據視覺化與報告撰寫的自動化。</t>
        </is>
      </c>
      <c r="G445" s="42" t="inlineStr">
        <is>
          <t>整理並且建立四常咧用的圖表佮報表範本，建立自動化的流程，省氣力兼免走精。</t>
        </is>
      </c>
      <c r="H445" s="43" t="inlineStr"/>
      <c r="I445" s="39" t="inlineStr"/>
      <c r="J445" s="44" t="inlineStr"/>
      <c r="K445" s="45" t="inlineStr"/>
    </row>
    <row r="446" ht="24" customHeight="1">
      <c r="A446" s="26" t="inlineStr">
        <is>
          <t>Slide 9</t>
        </is>
      </c>
      <c r="B446" s="27" t="inlineStr">
        <is>
          <t>No. 450</t>
        </is>
      </c>
      <c r="C446" s="28" t="inlineStr">
        <is>
          <t>原則 18</t>
        </is>
      </c>
      <c r="D446" s="29" t="inlineStr">
        <is>
          <t>Everything will pass on , emotion is temporary, everything will back to track.</t>
        </is>
      </c>
      <c r="E446" s="30" t="inlineStr">
        <is>
          <t>Remind yourself that everything will pass. Emotional distress is temporary, and situations will eventually stabilize. (Related to Item 450)</t>
        </is>
      </c>
      <c r="F446" s="31" t="inlineStr">
        <is>
          <t>告訴自己：一切都會過去的。負面情緒只是暫時的，事情終究會回歸正軌。</t>
        </is>
      </c>
      <c r="G446" s="32" t="inlineStr">
        <is>
          <t>共家己講：天地萬事攏會過去。歹情緒只是暫時的過路雲，世事到尾攏會回歸正軌。</t>
        </is>
      </c>
      <c r="H446" s="33" t="inlineStr"/>
      <c r="I446" s="29" t="inlineStr"/>
      <c r="J446" s="34" t="inlineStr"/>
      <c r="K446" s="35" t="inlineStr"/>
    </row>
    <row r="447" ht="24" customHeight="1">
      <c r="A447" s="36" t="inlineStr">
        <is>
          <t>Slide 9</t>
        </is>
      </c>
      <c r="B447" s="37" t="inlineStr">
        <is>
          <t>No. 451</t>
        </is>
      </c>
      <c r="C447" s="38" t="inlineStr">
        <is>
          <t>原則 3, 原則 5</t>
        </is>
      </c>
      <c r="D447" s="39" t="inlineStr">
        <is>
          <t>Check if there is an existing tool to fix the current question you encountered.</t>
        </is>
      </c>
      <c r="E447" s="40" t="inlineStr">
        <is>
          <t>Before building custom solutions, check whether existing tools or libraries already solve the problem.</t>
        </is>
      </c>
      <c r="F447" s="41" t="inlineStr">
        <is>
          <t>遇到問題時，先搜尋並評估市面上是否已有現成的工具或解決方案可直接運用。</t>
        </is>
      </c>
      <c r="G447" s="42" t="inlineStr">
        <is>
          <t>拄著難題先揣看覓敢有現成的工具會當借力，莫白費工夫重造輪仔，借力使力省氣力。</t>
        </is>
      </c>
      <c r="H447" s="43" t="inlineStr"/>
      <c r="I447" s="39" t="inlineStr"/>
      <c r="J447" s="44" t="inlineStr"/>
      <c r="K447" s="45" t="inlineStr"/>
    </row>
    <row r="448" ht="24" customHeight="1">
      <c r="A448" s="26" t="inlineStr">
        <is>
          <t>Slide 9</t>
        </is>
      </c>
      <c r="B448" s="27" t="inlineStr">
        <is>
          <t>No. 452</t>
        </is>
      </c>
      <c r="C448" s="28" t="inlineStr">
        <is>
          <t>原則 16</t>
        </is>
      </c>
      <c r="D448" s="29" t="inlineStr">
        <is>
          <t>What is the next killer product and application 453.</t>
        </is>
      </c>
      <c r="E448" s="30" t="inlineStr">
        <is>
          <t>Always analyze and keep track of what the next killer product and core application will be in the market. (Related to Item 453)</t>
        </is>
      </c>
      <c r="F448" s="31" t="inlineStr">
        <is>
          <t>保持前瞻思維，敏銳分析下一個市場上的殺手級產品與核心應用是什麼。（對照第453條）</t>
        </is>
      </c>
      <c r="G448" s="32" t="inlineStr">
        <is>
          <t>眼光愛放遠，算盤愛拍佇頭前：隨時推算市場後一步會橫掃天下的殺手級產品佮核心應用到底落佇佗位。（對照第 453 條）</t>
        </is>
      </c>
      <c r="H448" s="33" t="inlineStr"/>
      <c r="I448" s="29" t="inlineStr"/>
      <c r="J448" s="34" t="inlineStr"/>
      <c r="K448" s="35" t="inlineStr"/>
    </row>
    <row r="449" ht="24" customHeight="1">
      <c r="A449" s="36" t="inlineStr">
        <is>
          <t>Slide 9</t>
        </is>
      </c>
      <c r="B449" s="37" t="inlineStr">
        <is>
          <t>No. 453</t>
        </is>
      </c>
      <c r="C449" s="38" t="inlineStr">
        <is>
          <t>原則 16</t>
        </is>
      </c>
      <c r="D449" s="39" t="inlineStr">
        <is>
          <t>What is the skill to be needed? In the future.</t>
        </is>
      </c>
      <c r="E449" s="40" t="inlineStr">
        <is>
          <t>Anticipate the market trends and identify key skills that will be required in the future.</t>
        </is>
      </c>
      <c r="F449" s="41" t="inlineStr">
        <is>
          <t>洞察未來趨勢，提前識別並布局未來必備的核心技能。</t>
        </is>
      </c>
      <c r="G449" s="42" t="inlineStr">
        <is>
          <t>看準未來的風向，提早查明並且苦練未來所欠缺的關鍵功夫佮本領。</t>
        </is>
      </c>
      <c r="H449" s="43" t="inlineStr"/>
      <c r="I449" s="39" t="inlineStr"/>
      <c r="J449" s="44" t="inlineStr"/>
      <c r="K449" s="45" t="inlineStr"/>
    </row>
    <row r="450" ht="24" customHeight="1">
      <c r="A450" s="26" t="inlineStr">
        <is>
          <t>Slide 9</t>
        </is>
      </c>
      <c r="B450" s="27" t="inlineStr">
        <is>
          <t>No. 454</t>
        </is>
      </c>
      <c r="C450" s="28" t="inlineStr">
        <is>
          <t>原則 16</t>
        </is>
      </c>
      <c r="D450" s="29" t="inlineStr">
        <is>
          <t>BUILD UP CREDIT and relationship, stop gossip.</t>
        </is>
      </c>
      <c r="E450" s="30" t="inlineStr">
        <is>
          <t>Build strong personal credit, professional credibility, and healthy relationships while refraining from workplace gossip.</t>
        </is>
      </c>
      <c r="F450" s="31" t="inlineStr">
        <is>
          <t>建立良好信用與人脈網絡，遠離職場流言蜚語。</t>
        </is>
      </c>
      <c r="G450" s="32" t="inlineStr">
        <is>
          <t>起造好家己的信用佮好人緣，莫參人咬舌根講是非八卦，行得正、立得在，踏實做人。</t>
        </is>
      </c>
      <c r="H450" s="33" t="inlineStr"/>
      <c r="I450" s="29" t="inlineStr"/>
      <c r="J450" s="34" t="inlineStr"/>
      <c r="K450" s="35" t="inlineStr"/>
    </row>
    <row r="451" ht="24" customHeight="1">
      <c r="A451" s="36" t="inlineStr">
        <is>
          <t>Slide 9</t>
        </is>
      </c>
      <c r="B451" s="37" t="inlineStr">
        <is>
          <t>No. 455</t>
        </is>
      </c>
      <c r="C451" s="38" t="inlineStr">
        <is>
          <t>原則 5</t>
        </is>
      </c>
      <c r="D451" s="39" t="inlineStr">
        <is>
          <t>Don’t sent the results out before releasing. With clear statement.</t>
        </is>
      </c>
      <c r="E451" s="40" t="inlineStr">
        <is>
          <t>Do not distribute unverified or preliminary results before official release, and always attach clear qualification statements.</t>
        </is>
      </c>
      <c r="F451" s="41" t="inlineStr">
        <is>
          <t>產品或數據尚未正式發布前切勿擅自對外傳送，發布時須附上明確的聲明與範圍說明。</t>
        </is>
      </c>
      <c r="G451" s="42" t="inlineStr">
        <is>
          <t>成果抑是數據猶未正式公布進前，千千萬萬莫私自流出去；發布的時陣務必附帶清清楚楚的說明佮界限，才袂惹出誤會。</t>
        </is>
      </c>
      <c r="H451" s="43" t="inlineStr"/>
      <c r="I451" s="39" t="inlineStr"/>
      <c r="J451" s="44" t="inlineStr"/>
      <c r="K451" s="45" t="inlineStr"/>
    </row>
    <row r="452" ht="24" customHeight="1">
      <c r="A452" s="26" t="inlineStr">
        <is>
          <t>Slide 9</t>
        </is>
      </c>
      <c r="B452" s="27" t="inlineStr">
        <is>
          <t>No. 456</t>
        </is>
      </c>
      <c r="C452" s="28" t="inlineStr">
        <is>
          <t>原則 2, 原則 13</t>
        </is>
      </c>
      <c r="D452" s="29" t="inlineStr">
        <is>
          <t>Skip the work/email what suddenly throw to you. Do your job first. Avoid distraction.</t>
        </is>
      </c>
      <c r="E452" s="30" t="inlineStr">
        <is>
          <t>De-prioritize ad-hoc tasks or incoming emails that unexpectedly interrupt your workflow. Focus on your primary priorities first to avoid distraction.</t>
        </is>
      </c>
      <c r="F452" s="31" t="inlineStr">
        <is>
          <t>對於突然插進來的臨時郵件與雜務，先予擱置；優先完成既定的核心工作，避免被分心。</t>
        </is>
      </c>
      <c r="G452" s="32" t="inlineStr">
        <is>
          <t>突然掔過來的雜件郵件佮閒事先共掠一邊；家己當手頭頂的正經工課先做好，莫予外來的閒代誌分走神魂。</t>
        </is>
      </c>
      <c r="H452" s="33" t="inlineStr"/>
      <c r="I452" s="29" t="inlineStr"/>
      <c r="J452" s="34" t="inlineStr"/>
      <c r="K452" s="35" t="inlineStr"/>
    </row>
    <row r="453" ht="24" customHeight="1">
      <c r="A453" s="36" t="inlineStr">
        <is>
          <t>Slide 9</t>
        </is>
      </c>
      <c r="B453" s="37" t="inlineStr">
        <is>
          <t>No. 457</t>
        </is>
      </c>
      <c r="C453" s="38" t="inlineStr">
        <is>
          <t>原則 13</t>
        </is>
      </c>
      <c r="D453" s="39" t="inlineStr">
        <is>
          <t>Don’t stop your colleague learning by themselves, try not to help too much.</t>
        </is>
      </c>
      <c r="E453" s="40" t="inlineStr">
        <is>
          <t>Do not rob colleagues of their learning opportunities; avoid over-assisting them so they can learn to solve problems independently.</t>
        </is>
      </c>
      <c r="F453" s="41" t="inlineStr">
        <is>
          <t>不要剝奪同事的學習機會。適度給予空間，不要過度熱情幫忙，讓他們學會獨立解決問題。</t>
        </is>
      </c>
      <c r="G453" s="42" t="inlineStr">
        <is>
          <t>莫去搶走同事家己摸索學習的機會。留予人空間，莫熱心過頭替人包辦甲好勢，愛予同仁學會曉家己企在、家己擔當。</t>
        </is>
      </c>
      <c r="H453" s="43" t="inlineStr"/>
      <c r="I453" s="39" t="inlineStr"/>
      <c r="J453" s="44" t="inlineStr"/>
      <c r="K453" s="45" t="inlineStr"/>
    </row>
    <row r="454" ht="24" customHeight="1">
      <c r="A454" s="26" t="inlineStr">
        <is>
          <t>Slide 9</t>
        </is>
      </c>
      <c r="B454" s="27" t="inlineStr">
        <is>
          <t>No. 458</t>
        </is>
      </c>
      <c r="C454" s="28" t="inlineStr">
        <is>
          <t>原則 3, 原則 7</t>
        </is>
      </c>
      <c r="D454" s="29" t="inlineStr">
        <is>
          <t>5S rules &amp;2 mins action save u.</t>
        </is>
      </c>
      <c r="E454" s="30" t="inlineStr">
        <is>
          <t>Apply 5S workspace management principles and the 2-minute rule (do immediate quick tasks right away) to maximize efficiency.</t>
        </is>
      </c>
      <c r="F454" s="31" t="inlineStr">
        <is>
          <t>貫徹 5S 整理整頓原則與「兩分鐘原則」（微小任務立即完成），提升個人與工作環境效能。</t>
        </is>
      </c>
      <c r="G454" s="32" t="inlineStr">
        <is>
          <t>環境整理整頓做好勢（5S），兩分鐘內會當做煞的代誌條直動手做完，省氣力又閣真俐落。</t>
        </is>
      </c>
      <c r="H454" s="33" t="inlineStr"/>
      <c r="I454" s="29" t="inlineStr"/>
      <c r="J454" s="34" t="inlineStr"/>
      <c r="K454" s="35" t="inlineStr"/>
    </row>
    <row r="455" ht="24" customHeight="1">
      <c r="A455" s="36" t="inlineStr">
        <is>
          <t>Slide 9</t>
        </is>
      </c>
      <c r="B455" s="37" t="inlineStr">
        <is>
          <t>No. 459</t>
        </is>
      </c>
      <c r="C455" s="38" t="inlineStr">
        <is>
          <t>原則 16, 原則 17</t>
        </is>
      </c>
      <c r="D455" s="39" t="inlineStr">
        <is>
          <t>Prepare for oversee job, try and see</t>
        </is>
      </c>
      <c r="E455" s="40" t="inlineStr">
        <is>
          <t>Prepare yourself for overseas career opportunities; stay curious and willing to step out of your comfort zone.</t>
        </is>
      </c>
      <c r="F455" s="41" t="inlineStr">
        <is>
          <t>隨時為海外工作機會做好準備，勇敢嘗試，拓展國際視野。</t>
        </is>
      </c>
      <c r="G455" s="42" t="inlineStr">
        <is>
          <t>備齊實力，迎接出洋做工課的機會。勇敢去闖看覓，驚驚袂著頂，開闊國際的世面。</t>
        </is>
      </c>
      <c r="H455" s="43" t="inlineStr"/>
      <c r="I455" s="39" t="inlineStr"/>
      <c r="J455" s="44" t="inlineStr"/>
      <c r="K455" s="45" t="inlineStr"/>
    </row>
    <row r="456" ht="24" customHeight="1">
      <c r="A456" s="26" t="inlineStr">
        <is>
          <t>Slide 9</t>
        </is>
      </c>
      <c r="B456" s="27" t="inlineStr">
        <is>
          <t>No. 460</t>
        </is>
      </c>
      <c r="C456" s="28" t="inlineStr">
        <is>
          <t>原則 9, 原則 13</t>
        </is>
      </c>
      <c r="D456" s="29" t="inlineStr">
        <is>
          <t>Be kind to anyone.</t>
        </is>
      </c>
      <c r="E456" s="30" t="inlineStr">
        <is>
          <t>Treat everyone with kindness, empathy, and professional respect.</t>
        </is>
      </c>
      <c r="F456" s="31" t="inlineStr">
        <is>
          <t>對待任何人皆保持友善與同理心。</t>
        </is>
      </c>
      <c r="G456" s="32" t="inlineStr">
        <is>
          <t>對待逐个人攏愛心頭放慈悲、保持溫暖厚道，廣結好善緣，四界有貴人。</t>
        </is>
      </c>
      <c r="H456" s="33" t="inlineStr"/>
      <c r="I456" s="29" t="inlineStr"/>
      <c r="J456" s="34" t="inlineStr"/>
      <c r="K456" s="35" t="inlineStr"/>
    </row>
    <row r="457" ht="24" customHeight="1">
      <c r="A457" s="36" t="inlineStr">
        <is>
          <t>Slide 9</t>
        </is>
      </c>
      <c r="B457" s="37" t="inlineStr">
        <is>
          <t>No. 461</t>
        </is>
      </c>
      <c r="C457" s="38" t="inlineStr">
        <is>
          <t>原則 6, 原則 8</t>
        </is>
      </c>
      <c r="D457" s="39" t="inlineStr">
        <is>
          <t>Don’t get two engine for investment.</t>
        </is>
      </c>
      <c r="E457" s="40" t="inlineStr">
        <is>
          <t>Avoid maintaining contradictory or competing core strategies (two parallel engines) in your investment portfolio; keep your framework clear and focused.</t>
        </is>
      </c>
      <c r="F457" s="41" t="inlineStr">
        <is>
          <t>投資策略應切忌雙重核心（雙引擎矛盾），確保戰略一致性與專注度。</t>
        </is>
      </c>
      <c r="G457" s="42" t="inlineStr">
        <is>
          <t>理財投資的策略莫開雙頭火車互相拖磨；方向愛專一、心頭愛掠予穩，跤步才企會在。</t>
        </is>
      </c>
      <c r="H457" s="43" t="inlineStr"/>
      <c r="I457" s="39" t="inlineStr"/>
      <c r="J457" s="44" t="inlineStr"/>
      <c r="K457" s="45" t="inlineStr"/>
    </row>
    <row r="458" ht="24" customHeight="1">
      <c r="A458" s="26" t="inlineStr">
        <is>
          <t>Slide 9</t>
        </is>
      </c>
      <c r="B458" s="27" t="inlineStr">
        <is>
          <t>No. 462-1</t>
        </is>
      </c>
      <c r="C458" s="28" t="inlineStr">
        <is>
          <t>原則 9, 原則 14</t>
        </is>
      </c>
      <c r="D458" s="29" t="inlineStr">
        <is>
          <t>Make friends with cleaners</t>
        </is>
      </c>
      <c r="E458" s="30" t="inlineStr">
        <is>
          <t>Build warm, respectful relationships with the cleaning staff and support service team.</t>
        </is>
      </c>
      <c r="F458" s="31" t="inlineStr">
        <is>
          <t>與清潔人員及後勤支援同仁保持良好與友善的互動。</t>
        </is>
      </c>
      <c r="G458" s="32" t="inlineStr">
        <is>
          <t>佮拍掃清潔的同仁佮後勤人員好心交陪做朋友，互相照應、互相敬重，溫暖待人。</t>
        </is>
      </c>
      <c r="H458" s="33" t="inlineStr"/>
      <c r="I458" s="29" t="inlineStr"/>
      <c r="J458" s="34" t="inlineStr"/>
      <c r="K458" s="35" t="inlineStr"/>
    </row>
    <row r="459" ht="24" customHeight="1">
      <c r="A459" s="36" t="inlineStr">
        <is>
          <t>Slide 9</t>
        </is>
      </c>
      <c r="B459" s="37" t="inlineStr">
        <is>
          <t>No. 462-2</t>
        </is>
      </c>
      <c r="C459" s="38" t="inlineStr">
        <is>
          <t>原則 15, 原則 17</t>
        </is>
      </c>
      <c r="D459" s="39" t="inlineStr">
        <is>
          <t>Always prepare your CV updated</t>
        </is>
      </c>
      <c r="E459" s="40" t="inlineStr">
        <is>
          <t>Keep your resume and profile continuously updated to remain ready for unexpected opportunities.</t>
        </is>
      </c>
      <c r="F459" s="41" t="inlineStr">
        <is>
          <t>隨時更新個人履歷，保持對職涯機會的敏銳度與準備狀態。</t>
        </is>
      </c>
      <c r="G459" s="42" t="inlineStr">
        <is>
          <t>家己的履歷表隨時修飾翻新，對外面的機運保持敏銳；好機會一若來，及時伸手掠牢牢。</t>
        </is>
      </c>
      <c r="H459" s="43" t="inlineStr"/>
      <c r="I459" s="39" t="inlineStr"/>
      <c r="J459" s="44" t="inlineStr"/>
      <c r="K459" s="45" t="inlineStr"/>
    </row>
  </sheetData>
  <autoFilter ref="A1:K459"/>
  <conditionalFormatting sqref="H2:H459">
    <cfRule type="cellIs" priority="1" operator="equal" dxfId="0" stopIfTrue="1">
      <formula>"通過"</formula>
    </cfRule>
    <cfRule type="cellIs" priority="2" operator="equal" dxfId="1" stopIfTrue="1">
      <formula>"待修"</formula>
    </cfRule>
    <cfRule type="cellIs" priority="3" operator="equal" dxfId="2" stopIfTrue="1">
      <formula>"已修訂"</formula>
    </cfRule>
    <cfRule type="cellIs" priority="4" operator="equal" dxfId="3" stopIfTrue="1">
      <formula>"有疑問"</formula>
    </cfRule>
  </conditionalFormatting>
  <dataValidations count="1">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showDropDown="0" showInputMessage="0" showErrorMessage="0" allowBlank="1" errorTitle="輸入無效" error="請選擇有效的校對狀態：通過, 待修, 已修訂, 有疑問, 未校對" promptTitle="狀態選單" prompt="請選取校對狀態" type="list">
      <formula1>"通過,待修,已修訂,有疑問,未校對"</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1"/>
  <sheetViews>
    <sheetView showGridLines="1" workbookViewId="0">
      <pane ySplit="1" topLeftCell="A2" activePane="bottomLeft" state="frozen"/>
      <selection pane="bottomLeft" activeCell="A1" sqref="A1"/>
    </sheetView>
  </sheetViews>
  <sheetFormatPr baseColWidth="8" defaultRowHeight="15"/>
  <cols>
    <col width="11" customWidth="1" min="1" max="1"/>
    <col width="28" customWidth="1" min="2" max="2"/>
    <col width="12" customWidth="1" min="3" max="3"/>
    <col width="32" customWidth="1" min="4" max="4"/>
    <col width="48" customWidth="1" min="5" max="5"/>
    <col width="48" customWidth="1" min="6" max="6"/>
    <col width="48" customWidth="1" min="7" max="7"/>
    <col width="30" customWidth="1" min="8" max="8"/>
    <col width="14" customWidth="1" min="9" max="9"/>
    <col width="36" customWidth="1" min="10" max="10"/>
    <col width="13" customWidth="1" min="11" max="11"/>
    <col width="14" customWidth="1" min="12" max="12"/>
  </cols>
  <sheetData>
    <row r="1" ht="30" customHeight="1">
      <c r="A1" s="46" t="inlineStr">
        <is>
          <t>篇章編號</t>
        </is>
      </c>
      <c r="B1" s="46" t="inlineStr">
        <is>
          <t>所屬篇章名稱</t>
        </is>
      </c>
      <c r="C1" s="46" t="inlineStr">
        <is>
          <t>原則編號</t>
        </is>
      </c>
      <c r="D1" s="46" t="inlineStr">
        <is>
          <t>原則中文名稱 (Title)</t>
        </is>
      </c>
      <c r="E1" s="46" t="inlineStr">
        <is>
          <t>優化英文 (Polished English)</t>
        </is>
      </c>
      <c r="F1" s="46" t="inlineStr">
        <is>
          <t>優化中文 (Polished Mandarin)</t>
        </is>
      </c>
      <c r="G1" s="46" t="inlineStr">
        <is>
          <t>優化台文 (Polished Taiwanese)</t>
        </is>
      </c>
      <c r="H1" s="46" t="inlineStr">
        <is>
          <t>對照卡牌編號 (Card Refs)</t>
        </is>
      </c>
      <c r="I1" s="46" t="inlineStr">
        <is>
          <t>校對狀態</t>
        </is>
      </c>
      <c r="J1" s="46" t="inlineStr">
        <is>
          <t>修訂建議與批註</t>
        </is>
      </c>
      <c r="K1" s="46" t="inlineStr">
        <is>
          <t>校對人</t>
        </is>
      </c>
      <c r="L1" s="46" t="inlineStr">
        <is>
          <t>校對日期</t>
        </is>
      </c>
    </row>
    <row r="2" ht="26" customHeight="1">
      <c r="A2" s="47" t="inlineStr">
        <is>
          <t>第 1 篇</t>
        </is>
      </c>
      <c r="B2" s="48" t="inlineStr">
        <is>
          <t>第一篇：效能與工具（生產力管理）</t>
        </is>
      </c>
      <c r="C2" s="49" t="inlineStr">
        <is>
          <t>原則 1</t>
        </is>
      </c>
      <c r="D2" s="50" t="inlineStr">
        <is>
          <t>行事曆管理與個人神聖時間 （Calendar Management and Sacred Time）</t>
        </is>
      </c>
      <c r="E2" s="30" t="inlineStr">
        <is>
          <t>Schedule all leaves, personal time, business trips, holidays, and routines into your calendar. Reserve buffer time to save brain energy. Shut down your laptop and clean your desk before leaving for a sense of ritual.</t>
        </is>
      </c>
      <c r="F2" s="31" t="inlineStr">
        <is>
          <t>將所有請假、私人時間、公差、節假日及固定行程排入行事曆，保留緩衝時間以節省大腦決策能量。下班前關機並清理桌面，建立儀式感。</t>
        </is>
      </c>
      <c r="G2" s="32" t="inlineStr">
        <is>
          <t>共請假、私人時間、出差、節日佮固定行程攏排入行事曆，留一寡緩衝時間，大腦才袂傷忝、免逐項代誌費神做決定。落班進前電腦關機、桌頂收予清氣，建立儀式感，心嘛定落來。</t>
        </is>
      </c>
      <c r="H2" s="51" t="inlineStr">
        <is>
          <t>1, 4, 6, 20, 24, 59, 96, 187, 211, 227, 228, 259, 268, 307, 308, 322, 327, 343, 353, 362, 405, 422</t>
        </is>
      </c>
      <c r="I2" s="33" t="inlineStr"/>
      <c r="J2" s="29" t="inlineStr"/>
      <c r="K2" s="34" t="inlineStr"/>
      <c r="L2" s="35" t="inlineStr"/>
    </row>
    <row r="3" ht="26" customHeight="1">
      <c r="A3" s="52" t="inlineStr">
        <is>
          <t>第 1 篇</t>
        </is>
      </c>
      <c r="B3" s="53" t="inlineStr">
        <is>
          <t>第一篇：效能與工具（生產力管理）</t>
        </is>
      </c>
      <c r="C3" s="54" t="inlineStr">
        <is>
          <t>原則 2</t>
        </is>
      </c>
      <c r="D3" s="55" t="inlineStr">
        <is>
          <t>郵件降噪與非同步溝通 （Email Noise Reduction and Focus）</t>
        </is>
      </c>
      <c r="E3" s="40" t="inlineStr">
        <is>
          <t>Only read emails where you are mentioned or directly requested to reply. Reduce email frequency（no more than 8 per day）. Use delayed delivery to avoid sending emails during weekends/after-hours, and turn off real-time notifications to focus on core tasks.</t>
        </is>
      </c>
      <c r="F3" s="41" t="inlineStr">
        <is>
          <t>僅閱讀提及自己或有明確回覆要求的信件，減少發信頻率（每日小於 8 封）。利用延遲發送功能，避免在下班或週末發信，並關閉即時通知以維持專注。</t>
        </is>
      </c>
      <c r="G3" s="42" t="inlineStr">
        <is>
          <t>只讀點名著家己、抑是有指名愛回的信件，發信的次數加減節制（一工莫超過八封）。利用延後寄信的功能，落班抑是歇睏日莫吵別人，即時通知關關咧，心頭專注顧大項代誌。</t>
        </is>
      </c>
      <c r="H3" s="56" t="inlineStr">
        <is>
          <t>1, 16, 18, 25, 26, 30, 51, 82, 134, 188, 201, 217, 228, 247, 256, 264, 267, 311, 377, 384, 385, 416, 428, 456</t>
        </is>
      </c>
      <c r="I3" s="43" t="inlineStr"/>
      <c r="J3" s="39" t="inlineStr"/>
      <c r="K3" s="44" t="inlineStr"/>
      <c r="L3" s="45" t="inlineStr"/>
    </row>
    <row r="4" ht="26" customHeight="1">
      <c r="A4" s="47" t="inlineStr">
        <is>
          <t>第 1 篇</t>
        </is>
      </c>
      <c r="B4" s="48" t="inlineStr">
        <is>
          <t>第一篇：效能與工具（生產力管理）</t>
        </is>
      </c>
      <c r="C4" s="49" t="inlineStr">
        <is>
          <t>原則 3</t>
        </is>
      </c>
      <c r="D4" s="50" t="inlineStr">
        <is>
          <t>工作範本化與流程自動化 （Templatization and Workflow Automation）</t>
        </is>
      </c>
      <c r="E4" s="30" t="inlineStr">
        <is>
          <t>Modularize repetitive tasks and create standard templates（e.g., meeting minutes, 8D, yield reports）. Leverage new tools and scripts to automate routine work, aiming for 10x speedup and zero low-level errors.</t>
        </is>
      </c>
      <c r="F4" s="31" t="inlineStr">
        <is>
          <t>將重複性任務模組化，建立標準範本（如會議記錄、8D、Yield 報告）。利用新工具與腳本將常規工作自動化，目標是提升十倍速並降低低級錯誤。</t>
        </is>
      </c>
      <c r="G4" s="32" t="inlineStr">
        <is>
          <t>照步來的定規代誌做成標準套（親像開會記錄、8D、報告範本）。學用新工具佮腳本共手路自動化，目標是十倍速咧走，手尾清氣閣袂去出粗差。</t>
        </is>
      </c>
      <c r="H4" s="51" t="inlineStr">
        <is>
          <t>23, 27, 28, 31, 32, 37, 39, 43, 65, 112, 170, 183, 206, 209, 210, 219, 229, 244, 254, 276, 313, 329, 360, 368, 383, 415, 449, 451, 458</t>
        </is>
      </c>
      <c r="I4" s="33" t="inlineStr"/>
      <c r="J4" s="29" t="inlineStr"/>
      <c r="K4" s="34" t="inlineStr"/>
      <c r="L4" s="35" t="inlineStr"/>
    </row>
    <row r="5" ht="26" customHeight="1">
      <c r="A5" s="52" t="inlineStr">
        <is>
          <t>第 1 篇</t>
        </is>
      </c>
      <c r="B5" s="53" t="inlineStr">
        <is>
          <t>第一篇：效能與工具（生產力管理）</t>
        </is>
      </c>
      <c r="C5" s="54" t="inlineStr">
        <is>
          <t>原則 4</t>
        </is>
      </c>
      <c r="D5" s="55" t="inlineStr">
        <is>
          <t>數位筆記與知識管理 （Digital Note-taking and Knowledge Management）</t>
        </is>
      </c>
      <c r="E5" s="40" t="inlineStr">
        <is>
          <t>Do not rely on memory; build good digital note-taking habits（e.g., using Obsidian or OneNote）. Use clear, descriptive file naming conventions (Product-Stage-Version-Date) and back up regularly to the cloud for fast retrieval.</t>
        </is>
      </c>
      <c r="F5" s="41" t="inlineStr">
        <is>
          <t>不依賴大腦記憶，建立良好的數位筆記習慣（如使用 Obsidian、OneNote）。使用清晰且長檔名的命名規範（產品-階段-版本-日期），並定期備份至雲端以利數秒內檢索。</t>
        </is>
      </c>
      <c r="G5" s="42" t="inlineStr">
        <is>
          <t>莫數想單靠頭殼記，好記性不如爛筆頭，數位筆記軟體（親像 Obsidian、OneNote）愛用慣勢。檔案名寫予清楚、用長檔名好辨認（產品-階段-版本-日期），照時上雲端備份，幾秒鐘內就揣會著。</t>
        </is>
      </c>
      <c r="H5" s="56" t="inlineStr">
        <is>
          <t>8, 38, 42, 54, 59, 65, 95, 101, 106, 117, 132, 203, 229, 244, 275, 317, 320, 354, 368, 383, 394, 436, 448</t>
        </is>
      </c>
      <c r="I5" s="43" t="inlineStr"/>
      <c r="J5" s="39" t="inlineStr"/>
      <c r="K5" s="44" t="inlineStr"/>
      <c r="L5" s="45" t="inlineStr"/>
    </row>
    <row r="6" ht="26" customHeight="1">
      <c r="A6" s="47" t="inlineStr">
        <is>
          <t>第 2 篇</t>
        </is>
      </c>
      <c r="B6" s="48" t="inlineStr">
        <is>
          <t>第二篇：思考與決策（思維模型與問題解決）</t>
        </is>
      </c>
      <c r="C6" s="49" t="inlineStr">
        <is>
          <t>原則 5</t>
        </is>
      </c>
      <c r="D6" s="50" t="inlineStr">
        <is>
          <t>統計思維與科學驗證 （Statistical Thinking and Scientific Verification）</t>
        </is>
      </c>
      <c r="E6" s="30" t="inlineStr">
        <is>
          <t>Support decisions with statistical and objective data（e.g., CPK, confidence interval, normality check） rather than intuition or feeling. Beware of statistical traps (sample bias, unit fallacy, causal fallacy) and interpret data from physical essence.</t>
        </is>
      </c>
      <c r="F6" s="31" t="inlineStr">
        <is>
          <t>用統計與客觀數據（如 CPK、置信區間、常態性檢驗）支持決策，而非憑直覺或感覺。提防統計學中的陷阱（如樣本偏差、比例謬誤、因果謬誤），並從物理本質解釋數據。</t>
        </is>
      </c>
      <c r="G6" s="32" t="inlineStr">
        <is>
          <t>用數據佮統計（親像 CPK、常態檢驗）來做主裁，莫單靠感覺抑是直覺咧猜。防範數據陷阱（樣本偏差、因果顛倒），代誌著對物理本質摸清楚，數字才講得通。</t>
        </is>
      </c>
      <c r="H6" s="51" t="inlineStr">
        <is>
          <t>61, 64, 68, 93, 99, 110, 227, 355, 357, 365, 451, 455</t>
        </is>
      </c>
      <c r="I6" s="33" t="inlineStr"/>
      <c r="J6" s="29" t="inlineStr"/>
      <c r="K6" s="34" t="inlineStr"/>
      <c r="L6" s="35" t="inlineStr"/>
    </row>
    <row r="7" ht="26" customHeight="1">
      <c r="A7" s="52" t="inlineStr">
        <is>
          <t>第 2 篇</t>
        </is>
      </c>
      <c r="B7" s="53" t="inlineStr">
        <is>
          <t>第二篇：思考與決策（思維模型與問題解決）</t>
        </is>
      </c>
      <c r="C7" s="54" t="inlineStr">
        <is>
          <t>原則 6</t>
        </is>
      </c>
      <c r="D7" s="55" t="inlineStr">
        <is>
          <t>架構化思考與風險控制 （Structured Thinking and Risk Control）</t>
        </is>
      </c>
      <c r="E7" s="40" t="inlineStr">
        <is>
          <t>Apply ORID and the Golden Circle（5 Whys） to probe essence. Use Premeditatio Malorum (pre-mortem) for stress testing and black swan prevention. Before deciding, consider consequences after 10 days, 10 months, and 10 years.</t>
        </is>
      </c>
      <c r="F7" s="41" t="inlineStr">
        <is>
          <t>運用 ORID、黃金圈（5 Whys）探究本質，並利用預前驗屍（Premeditatio malorum）進行壓力測試與最壞情況（Black Swan）的防範。決策前思考短期（10天）、中期（10月）與長期（10年）的後果。</t>
        </is>
      </c>
      <c r="G7" s="42" t="inlineStr">
        <is>
          <t>運用 ORID 佮黃金圈（連問五擺為啥物）挖出根本，凡事用「預前驗屍」拍預防針、想好上歹的烏天鵝局勢來防範。做主裁進前，看遠一寡：十工後、十個月後、十年後到底會變按怎？心肝頭先算盤好。</t>
        </is>
      </c>
      <c r="H7" s="56" t="inlineStr">
        <is>
          <t>34, 40, 47, 49, 50, 56, 61, 67, 85, 86, 94, 112, 125, 136, 147, 179, 194, 196, 206, 215, 255, 274, 276, 284, 286, 290, 295, 297, 300, 301, 315, 316, 323, 324, 325, 329, 341, 355, 370, 376, 382, 403, 404, 408, 410, 412, 413, 415, 424, 461</t>
        </is>
      </c>
      <c r="I7" s="43" t="inlineStr"/>
      <c r="J7" s="39" t="inlineStr"/>
      <c r="K7" s="44" t="inlineStr"/>
      <c r="L7" s="45" t="inlineStr"/>
    </row>
    <row r="8" ht="26" customHeight="1">
      <c r="A8" s="47" t="inlineStr">
        <is>
          <t>第 2 篇</t>
        </is>
      </c>
      <c r="B8" s="48" t="inlineStr">
        <is>
          <t>第二篇：思考與決策（思維模型與問題解決）</t>
        </is>
      </c>
      <c r="C8" s="49" t="inlineStr">
        <is>
          <t>原則 7</t>
        </is>
      </c>
      <c r="D8" s="50" t="inlineStr">
        <is>
          <t>敏捷執行與 MVP 精神 （Done is Better than Perfect）</t>
        </is>
      </c>
      <c r="E8" s="30" t="inlineStr">
        <is>
          <t>Build Minimum Viable Products（MVP） and divide big projects into small tasks for phased execution. Fail fast, adjust quickly, and don't let perfectionism delay progress.</t>
        </is>
      </c>
      <c r="F8" s="31" t="inlineStr">
        <is>
          <t>完成勝過完美：推行最小可行產品（MVP），把大專案拆解為小項目並分批執行。快速嘗試、快速失敗（Fast Fail）並及時修正，不要被「一次到位」的完美主義拖延。</t>
        </is>
      </c>
      <c r="G8" s="32" t="inlineStr">
        <is>
          <t>先做出來，贏過空等完美。大案拆做小步走，先做最小的成果（MVP）試水深。緊試、早知、緊調修，莫予「一擺愛到頂」的執念綁死拖延。</t>
        </is>
      </c>
      <c r="H8" s="51" t="inlineStr">
        <is>
          <t>15, 45, 100, 111, 155, 163, 241, 286, 287, 306, 314, 347, 351, 356, 363, 367, 374, 375, 409, 458</t>
        </is>
      </c>
      <c r="I8" s="33" t="inlineStr"/>
      <c r="J8" s="29" t="inlineStr"/>
      <c r="K8" s="34" t="inlineStr"/>
      <c r="L8" s="35" t="inlineStr"/>
    </row>
    <row r="9" ht="26" customHeight="1">
      <c r="A9" s="52" t="inlineStr">
        <is>
          <t>第 2 篇</t>
        </is>
      </c>
      <c r="B9" s="53" t="inlineStr">
        <is>
          <t>第二篇：思考與決策（思維模型與問題解決）</t>
        </is>
      </c>
      <c r="C9" s="54" t="inlineStr">
        <is>
          <t>原則 8</t>
        </is>
      </c>
      <c r="D9" s="55" t="inlineStr">
        <is>
          <t>以終為始與逆向工程 （Reverse Engineering and Goal Orientation）</t>
        </is>
      </c>
      <c r="E9" s="40" t="inlineStr">
        <is>
          <t>Trace execution steps backward from the final goal. Practice reverse thinking: What will happen if we don't do this? Filter out low-value tasks and concentrate resources on the core.</t>
        </is>
      </c>
      <c r="F9" s="41" t="inlineStr">
        <is>
          <t>從最終目標倒推執行步驟。經常進行逆向思考：如果不做這件事，會發生什麼後果？藉此過濾低價值的工作，將資源集中於核心任務。</t>
        </is>
      </c>
      <c r="G9" s="42" t="inlineStr">
        <is>
          <t>倒踏頭尾看：對最後的成果倒頭算番號、推排路程。定定反轉想：「這件代誌若無做，到底會按怎？」共冗雜無要緊的揀出去，力氣攏集佇核心骨幹。</t>
        </is>
      </c>
      <c r="H9" s="56" t="inlineStr">
        <is>
          <t>52, 60, 92, 94, 121, 142, 160, 195, 200, 201, 243, 280, 306, 307, 308, 313, 314, 327, 336, 341, 362, 364, 404, 424, 440, 461</t>
        </is>
      </c>
      <c r="I9" s="43" t="inlineStr"/>
      <c r="J9" s="39" t="inlineStr"/>
      <c r="K9" s="44" t="inlineStr"/>
      <c r="L9" s="45" t="inlineStr"/>
    </row>
    <row r="10" ht="26" customHeight="1">
      <c r="A10" s="47" t="inlineStr">
        <is>
          <t>第 3 篇</t>
        </is>
      </c>
      <c r="B10" s="48" t="inlineStr">
        <is>
          <t>第三篇：溝通與協作（職場對話術）</t>
        </is>
      </c>
      <c r="C10" s="49" t="inlineStr">
        <is>
          <t>原則 9</t>
        </is>
      </c>
      <c r="D10" s="50" t="inlineStr">
        <is>
          <t>同理與積極對話 （Empathy and Positive Dialogue）</t>
        </is>
      </c>
      <c r="E10" s="30" t="inlineStr">
        <is>
          <t>Adopt the Most Respectful Interpretation（MRI） principle. Speak in a gentle and steady tone, using positive phrases instead of defensive words like "but" or "however". Explain complex topics to non-experts or executives in simple, clear terms.</t>
        </is>
      </c>
      <c r="F10" s="31" t="inlineStr">
        <is>
          <t>抱持最善意詮釋（MRI）的原則看待他人溝通，使用溫和穩定的語氣，以正向詞彙（如「我同意你的觀點，而我認為…」）代替否定詞「但是」。用簡單明瞭的話語向非專業或高層解釋複雜事物。</t>
        </is>
      </c>
      <c r="G10" s="32" t="inlineStr">
        <is>
          <t>凡事向好處想、先用善意量度人（MRI）。講話氣口溫柔定著，加講「我贊同你，另外我按呢看」，莫先講「毋過」閘死人。對大官抑外行的人講話，愈深奧愈愛講大白話。</t>
        </is>
      </c>
      <c r="H10" s="51" t="inlineStr">
        <is>
          <t>2, 11, 13, 19, 44, 63, 69, 71, 102, 104, 109, 110, 116, 118, 138, 153, 158, 175, 176, 179, 180, 182, 208, 218, 233, 245, 266, 280, 282, 294, 298, 309, 321, 328, 332, 358, 372, 378, 388, 418, 422, 460, 462-1</t>
        </is>
      </c>
      <c r="I10" s="33" t="inlineStr"/>
      <c r="J10" s="29" t="inlineStr"/>
      <c r="K10" s="34" t="inlineStr"/>
      <c r="L10" s="35" t="inlineStr"/>
    </row>
    <row r="11" ht="26" customHeight="1">
      <c r="A11" s="52" t="inlineStr">
        <is>
          <t>第 3 篇</t>
        </is>
      </c>
      <c r="B11" s="53" t="inlineStr">
        <is>
          <t>第三篇：溝通與協作（職場對話術）</t>
        </is>
      </c>
      <c r="C11" s="54" t="inlineStr">
        <is>
          <t>原則 10</t>
        </is>
      </c>
      <c r="D11" s="55" t="inlineStr">
        <is>
          <t>會議控制與提問準備 （Meeting Control and Prepared Questioning）</t>
        </is>
      </c>
      <c r="E11" s="40" t="inlineStr">
        <is>
          <t>Prepare lists of questions and understand agendas before meetings. Reiterate agreements and next steps before adjourning. Decline meetings that lack value. If an issue involves more than three points, call or meet directly instead of sending back-and-forth emails.</t>
        </is>
      </c>
      <c r="F11" s="41" t="inlineStr">
        <is>
          <t>會前充分準備提問清單、理解議程，並在會議結束前重申共識與下一步行動。人數過多或無實質價值的會議應勇敢拒絕；若溝通事項超過三項，直接通話或見面談，而非來回郵件。</t>
        </is>
      </c>
      <c r="G11" s="42" t="inlineStr">
        <is>
          <t>開會進前問題清單先備好、議程先讀透，散會進前共共識佮下一步行動重申清楚。人傷濟抑是無實質價值的會愛敢婉拒；若超過三項代誌愛喬，直接敲電話抑是當面參詳，莫佇電子信來來回回冤家。</t>
        </is>
      </c>
      <c r="H11" s="56" t="inlineStr">
        <is>
          <t>3, 7, 17, 22, 30, 33, 69, 91, 97, 113, 128, 168, 181, 187, 194, 204, 207, 255, 301, 304, 323, 338, 350, 384, 399, 415, 418, 421</t>
        </is>
      </c>
      <c r="I11" s="43" t="inlineStr"/>
      <c r="J11" s="39" t="inlineStr"/>
      <c r="K11" s="44" t="inlineStr"/>
      <c r="L11" s="45" t="inlineStr"/>
    </row>
    <row r="12" ht="26" customHeight="1">
      <c r="A12" s="47" t="inlineStr">
        <is>
          <t>第 3 篇</t>
        </is>
      </c>
      <c r="B12" s="48" t="inlineStr">
        <is>
          <t>第三篇：溝通與協作（職場對話術）</t>
        </is>
      </c>
      <c r="C12" s="49" t="inlineStr">
        <is>
          <t>原則 11</t>
        </is>
      </c>
      <c r="D12" s="50" t="inlineStr">
        <is>
          <t>優雅拒絕與沉默邊界 （Classy Refusal and the Boundary of Silence）</t>
        </is>
      </c>
      <c r="E12" s="30" t="inlineStr">
        <is>
          <t>Learn to say "no" in a polite, data-backed manner to guard your boundaries. Maintain silence during controversies, avoid commenting on rumors, and do not over-reply to tasks where you are not the DRI.</t>
        </is>
      </c>
      <c r="F12" s="31" t="inlineStr">
        <is>
          <t>學會以體面且數據充分的方式說「不」，並守住自己的工作邊界。在爭議中保持適度沉默，不發表未經證實的言論，也不對非自身 DRI 的事情過度回應。</t>
        </is>
      </c>
      <c r="G12" s="32" t="inlineStr">
        <is>
          <t>用體面大方、有數據憑據的方式講「不」，顧好家己的工作界線。爭議風波中喙唇皮掠予絚、莫亂開腔，無影無跡的風聲莫批評；毋是家己擔當（非 DRI）的代誌，莫過度回應插手。</t>
        </is>
      </c>
      <c r="H12" s="51" t="inlineStr">
        <is>
          <t>35, 41, 51, 107, 122, 164, 173, 237, 278, 279, 285, 291, 299, 332, 333, 339, 376, 378, 401, 416, 419, 423</t>
        </is>
      </c>
      <c r="I12" s="33" t="inlineStr"/>
      <c r="J12" s="29" t="inlineStr"/>
      <c r="K12" s="34" t="inlineStr"/>
      <c r="L12" s="35" t="inlineStr"/>
    </row>
    <row r="13" ht="26" customHeight="1">
      <c r="A13" s="52" t="inlineStr">
        <is>
          <t>第 4 篇</t>
        </is>
      </c>
      <c r="B13" s="53" t="inlineStr">
        <is>
          <t>第四篇：職場生存與防線（自我保護與邊界）</t>
        </is>
      </c>
      <c r="C13" s="54" t="inlineStr">
        <is>
          <t>原則 12</t>
        </is>
      </c>
      <c r="D13" s="55" t="inlineStr">
        <is>
          <t>自我保護與合規防火牆 （Self-Protection and Compliance Firewall）</t>
        </is>
      </c>
      <c r="E13" s="40" t="inlineStr">
        <is>
          <t>Establish defensive documentation habits（meeting minutes, CCB approvals, and email archives） to set up a firewall when errors occur. Stay out of office politics and never complain on public channels.</t>
        </is>
      </c>
      <c r="F13" s="41" t="inlineStr">
        <is>
          <t>建立防禦性的文件化習慣（如保存會議記錄、CCB 審查與電子郵件備份），在同事犯錯或流程出問題時設立防火牆自保。避免介入辦公室政治或在公開渠道抱怨。</t>
        </is>
      </c>
      <c r="G13" s="42" t="inlineStr">
        <is>
          <t>白紙黑字寫分明、會議記錄收留好（CCB 審查、電子信留底），別人踩雷抑是制度漏氣的時陣，才有證據護身。莫摻入會社的派系政治，公開場合千萬莫大吐苦水。</t>
        </is>
      </c>
      <c r="H13" s="56" t="inlineStr">
        <is>
          <t>10, 56, 76, 85, 89, 108, 120, 141, 162, 181, 190, 191, 196, 197, 198, 217, 263, 284, 285, 295, 300, 311, 342, 403, 408, 412, 416, 437, 438, 447</t>
        </is>
      </c>
      <c r="I13" s="43" t="inlineStr"/>
      <c r="J13" s="39" t="inlineStr"/>
      <c r="K13" s="44" t="inlineStr"/>
      <c r="L13" s="45" t="inlineStr"/>
    </row>
    <row r="14" ht="26" customHeight="1">
      <c r="A14" s="47" t="inlineStr">
        <is>
          <t>第 4 篇</t>
        </is>
      </c>
      <c r="B14" s="48" t="inlineStr">
        <is>
          <t>第四篇：職場生存與防線（自我保護與邊界）</t>
        </is>
      </c>
      <c r="C14" s="49" t="inlineStr">
        <is>
          <t>原則 13</t>
        </is>
      </c>
      <c r="D14" s="50" t="inlineStr">
        <is>
          <t>人際邊界與專業距離 （Professional Distance and Interpersonal Boundaries）</t>
        </is>
      </c>
      <c r="E14" s="30" t="inlineStr">
        <is>
          <t>Do not treat colleagues as best friends; connect only via LinkedIn rather than private social media. Do not correct others' WoW（Way of Working） or cover for them unless explicitly asked. Everyone is an adult and responsible for their own outcomes.</t>
        </is>
      </c>
      <c r="F14" s="31" t="inlineStr">
        <is>
          <t>不要把同事當作摯友，不加入私人社群媒體（僅用 LinkedIn 聯絡）。不主動幫人擦屁股或糾正他人的 WoW（工作方式），除非被要求。每個人都是成年人，需對自己的工作成果負責。</t>
        </is>
      </c>
      <c r="G14" s="32" t="inlineStr">
        <is>
          <t>做伙做工的同仁莫當做換帖的知己，私底下的社群莫亂加（留 LinkedIn 照公事往來就好）。別人若無開喙，莫家婆替人拭尻川、糾正別人的做工手路（WoW）。逐家攏是大人，家己的成果家己擔。</t>
        </is>
      </c>
      <c r="H14" s="51" t="inlineStr">
        <is>
          <t>9, 21, 44, 54, 55, 79, 80, 88, 97, 105, 107, 116, 138, 156, 157, 158, 164, 175, 182, 205, 208, 221, 222, 223, 234, 235, 236, 245, 248, 249, 250, 259, 260, 261, 266, 273, 279, 290, 322, 332, 334, 339, 372, 407, 429, 438, 447, 456, 457, 460</t>
        </is>
      </c>
      <c r="I14" s="33" t="inlineStr"/>
      <c r="J14" s="29" t="inlineStr"/>
      <c r="K14" s="34" t="inlineStr"/>
      <c r="L14" s="35" t="inlineStr"/>
    </row>
    <row r="15" ht="26" customHeight="1">
      <c r="A15" s="52" t="inlineStr">
        <is>
          <t>第 4 篇</t>
        </is>
      </c>
      <c r="B15" s="53" t="inlineStr">
        <is>
          <t>第四篇：職場生存與防線（自我保護與邊界）</t>
        </is>
      </c>
      <c r="C15" s="54" t="inlineStr">
        <is>
          <t>原則 14</t>
        </is>
      </c>
      <c r="D15" s="55" t="inlineStr">
        <is>
          <t>放低自我與保持低調 （Subduing Ego and Keeping a Low Profile）</t>
        </is>
      </c>
      <c r="E15" s="40" t="inlineStr">
        <is>
          <t>Let go of your ego; do not try to appear smarter than your boss. Show weakness appropriately when asking for help. Learn to play deaf and dumb to avoid unnecessary trouble. Keep silent until you reach your goal.</t>
        </is>
      </c>
      <c r="F15" s="41" t="inlineStr">
        <is>
          <t>放下自我，不爭強好勝，亦不試圖顯得比老闆聰明。在合適的時機適度示弱，學會裝作沒聽見或沒看見以避開無謂紛爭。保持專注，在實現目標前保持緘默。</t>
        </is>
      </c>
      <c r="G15" s="42" t="inlineStr">
        <is>
          <t>收斂傲氣、莫爭強好勝，閣較莫自作巧想欲贏過頭家。看時機適度示弱討教，學寡「假聾、裝痟、莫管閒事」避開無謂的是非。保持專注、沉心靜氣，目標達成進前恬恬莫張揚。</t>
        </is>
      </c>
      <c r="H15" s="56" t="inlineStr">
        <is>
          <t>72, 76, 98, 106, 108, 109, 144, 148, 192, 193, 199, 237, 267, 278, 298, 299, 312, 333, 361, 387, 401, 402, 407, 437, 462-1</t>
        </is>
      </c>
      <c r="I15" s="43" t="inlineStr"/>
      <c r="J15" s="39" t="inlineStr"/>
      <c r="K15" s="44" t="inlineStr"/>
      <c r="L15" s="45" t="inlineStr"/>
    </row>
    <row r="16" ht="26" customHeight="1">
      <c r="A16" s="47" t="inlineStr">
        <is>
          <t>第 5 篇</t>
        </is>
      </c>
      <c r="B16" s="48" t="inlineStr">
        <is>
          <t>第五篇：職涯與個人成長（價值提升與升遷）</t>
        </is>
      </c>
      <c r="C16" s="49" t="inlineStr">
        <is>
          <t>原則 15</t>
        </is>
      </c>
      <c r="D16" s="50" t="inlineStr">
        <is>
          <t>績效量化與主動升遷 （Quantifying Performance and Managing Promotion）</t>
        </is>
      </c>
      <c r="E16" s="30" t="inlineStr">
        <is>
          <t>Proactively take on high-value core projects and quantify your contributions to build an expert image. Understand performance appraisal timelines and salary caps. Submit solid achievements to your manager early（e.g., before October） and bravely ask for promotion.</t>
        </is>
      </c>
      <c r="F16" s="31" t="inlineStr">
        <is>
          <t>主動爭取高價值的核心專案，並量化自己的貢獻以建立專家形象。熟悉公司的考評流程與薪水職等天花板，在考評期前（如 10 月前）向主管提出有利的成果佐證，勇敢爭取升遷。</t>
        </is>
      </c>
      <c r="G16" s="32" t="inlineStr">
        <is>
          <t>主動爭取大塊的核心專案，用數字算明家己的功勞，立穩專業名聲。摸清會社的考績制度佮薪水頂線，考評進前（像十月前）大大方方捧出成績向主管表功，勇敢爭取加薪升位。</t>
        </is>
      </c>
      <c r="H16" s="51" t="inlineStr">
        <is>
          <t>12, 40, 52, 53, 57, 58, 62, 67, 74, 78, 119, 130, 139, 143, 166, 168, 177, 180, 184, 185, 186, 212, 214, 272, 302, 303, 312, 318, 328, 354, 359, 417, 462-2</t>
        </is>
      </c>
      <c r="I16" s="33" t="inlineStr"/>
      <c r="J16" s="29" t="inlineStr"/>
      <c r="K16" s="34" t="inlineStr"/>
      <c r="L16" s="35" t="inlineStr"/>
    </row>
    <row r="17" ht="26" customHeight="1">
      <c r="A17" s="52" t="inlineStr">
        <is>
          <t>第 5 篇</t>
        </is>
      </c>
      <c r="B17" s="53" t="inlineStr">
        <is>
          <t>第五篇：職涯與個人成長（價值提升與升遷）</t>
        </is>
      </c>
      <c r="C17" s="54" t="inlineStr">
        <is>
          <t>原則 16</t>
        </is>
      </c>
      <c r="D17" s="55" t="inlineStr">
        <is>
          <t>建立核心優勢與 WoW （工作方式） 升級（Building Core Advantages and WoW Upgrade）</t>
        </is>
      </c>
      <c r="E17" s="40" t="inlineStr">
        <is>
          <t>Internalize daily tasks into a portable methodology (WoW). Learn at least one new skill annually, emulate high-performing colleagues, and avoid blind busyness. Operate yourself as a "company of one" with a long-term mindset.</t>
        </is>
      </c>
      <c r="F17" s="41" t="inlineStr">
        <is>
          <t>將日常工作內化為自己帶得走的工作方法論（WoW），每年主動學習一項新技能，跟隨優秀同事的習慣，拒絕盲目忙碌。把自己當作「一人公司」來經營，以長期主義建構核心競爭力。</t>
        </is>
      </c>
      <c r="G17" s="42" t="inlineStr">
        <is>
          <t>共逐日做工的眉角，煉成家己帶得走的獨門手路（WoW）。每年學一項新真工夫，對齊優秀前輩，莫像盲牛無頭路亂衝。共家己當做「一人會社」經營，看長看遠，骨底厚才企得佇。</t>
        </is>
      </c>
      <c r="H17" s="56" t="inlineStr">
        <is>
          <t>12, 27, 31, 34, 36, 37, 70, 86, 90, 100, 124, 126, 129, 133, 137, 139, 140, 143, 145, 146, 156, 161, 165, 166, 167, 169, 183, 189, 195, 200, 202, 213, 216, 219, 220, 225, 226, 231, 232, 246, 254, 258, 272, 277, 320, 326, 335, 336, 340, 344, 347, 359, 364, 386, 411, 425, 426, 440, 452, 453, 454, 459</t>
        </is>
      </c>
      <c r="I17" s="43" t="inlineStr"/>
      <c r="J17" s="39" t="inlineStr"/>
      <c r="K17" s="44" t="inlineStr"/>
      <c r="L17" s="45" t="inlineStr"/>
    </row>
    <row r="18" ht="26" customHeight="1">
      <c r="A18" s="47" t="inlineStr">
        <is>
          <t>第 5 篇</t>
        </is>
      </c>
      <c r="B18" s="48" t="inlineStr">
        <is>
          <t>第五篇：職涯與個人成長（價值提升與升遷）</t>
        </is>
      </c>
      <c r="C18" s="49" t="inlineStr">
        <is>
          <t>原則 17</t>
        </is>
      </c>
      <c r="D18" s="50" t="inlineStr">
        <is>
          <t>防彈計畫與職業流動性 （Bulletproof Career Mobility）</t>
        </is>
      </c>
      <c r="E18" s="30" t="inlineStr">
        <is>
          <t>Never place absolute faith in company promises; remain ready to leave at any time. Keep your resume updated, maintain contact with recruiters, and actively collect market salary data to ensure a backup plan.</t>
        </is>
      </c>
      <c r="F18" s="31" t="inlineStr">
        <is>
          <t>不要對公司的任何承諾抱有幻想，隨時做好離職的準備。定期更新履歷，維持與獵頭的聯繫，並主動收集外部市場的薪資福利 package，掌握自己的市場價值與備用生存計畫。</t>
        </is>
      </c>
      <c r="G18" s="32" t="inlineStr">
        <is>
          <t>會社拍胸坎的承諾，莫抱傷大的幻想，隨時提防變化、做隨時走人的準備。定定修好履歷、佮獵頭保持線路，探聽外口開啥身價條件。摸透家己的身價，暗中鋪好後步。</t>
        </is>
      </c>
      <c r="H18" s="51" t="inlineStr">
        <is>
          <t>90, 111, 123, 129, 145, 149, 226, 243, 257, 270, 274, 302, 303, 319, 344, 352, 379, 382, 434, 459, 462-2</t>
        </is>
      </c>
      <c r="I18" s="33" t="inlineStr"/>
      <c r="J18" s="29" t="inlineStr"/>
      <c r="K18" s="34" t="inlineStr"/>
      <c r="L18" s="35" t="inlineStr"/>
    </row>
    <row r="19" ht="26" customHeight="1">
      <c r="A19" s="52" t="inlineStr">
        <is>
          <t>第 6 篇</t>
        </is>
      </c>
      <c r="B19" s="53" t="inlineStr">
        <is>
          <t>第六篇：能量、韌性與生活平衡（心智與身心管理）</t>
        </is>
      </c>
      <c r="C19" s="54" t="inlineStr">
        <is>
          <t>原則 18</t>
        </is>
      </c>
      <c r="D19" s="55" t="inlineStr">
        <is>
          <t>正向轉念與心理抗脆弱 （Reframing and Mental Antifragility）</t>
        </is>
      </c>
      <c r="E19" s="40" t="inlineStr">
        <is>
          <t>Accept imperfection and uncertainty as normal. When facing chaos, practice deep breathing（4-7-8 method） or walk away. Focus on solutions you can control rather than dwelling on negative emotions. Trust that difficulties will pass and treat failures as nutrients for growth.</t>
        </is>
      </c>
      <c r="F19" s="41" t="inlineStr">
        <is>
          <t>接受不完美與不確定性是常態。面臨混亂與挫折時，深呼吸（4-7-8 呼吸法）或暫時抽離。專注於你能控制的解決方案，而非沉溺於負面情緒。 believe 困難終將過去，將挫折視為成功的養分。</t>
        </is>
      </c>
      <c r="G19" s="42" t="inlineStr">
        <is>
          <t>世事無常閣不完美，本來就是平常態。拄著大風浪抑是跌倒，長長深吸一口氣（4-7-8 呼吸法），先跳開冷靜。莫漚佇怨嘆的情緒，轉頭去理做得來的方法。無過袂去的坎，食苦當作食補。</t>
        </is>
      </c>
      <c r="H19" s="56" t="inlineStr">
        <is>
          <t>5, 14, 29, 36, 46, 48, 50, 66, 70, 73, 74, 75, 77, 81, 83, 84, 87, 91, 92, 96, 103, 114, 117, 127, 130, 131, 148, 151, 154, 174, 177, 178, 213, 224, 230, 238, 239, 240, 242, 251, 252, 253, 262, 265, 283, 288, 289, 292, 293, 296, 305, 319, 330, 331, 335, 337, 346, 357, 366, 369, 370, 371, 373, 381, 388, 389, 402, 410, 420, 427, 429, 430, 439, 450</t>
        </is>
      </c>
      <c r="I19" s="43" t="inlineStr"/>
      <c r="J19" s="39" t="inlineStr"/>
      <c r="K19" s="44" t="inlineStr"/>
      <c r="L19" s="45" t="inlineStr"/>
    </row>
    <row r="20" ht="26" customHeight="1">
      <c r="A20" s="47" t="inlineStr">
        <is>
          <t>第 6 篇</t>
        </is>
      </c>
      <c r="B20" s="48" t="inlineStr">
        <is>
          <t>第六篇：能量、韌性與生活平衡（心智與身心管理）</t>
        </is>
      </c>
      <c r="C20" s="49" t="inlineStr">
        <is>
          <t>原則 19</t>
        </is>
      </c>
      <c r="D20" s="50" t="inlineStr">
        <is>
          <t>生理節律與能量管理 （Biological Rhythms and Energy Management）</t>
        </is>
      </c>
      <c r="E20" s="30" t="inlineStr">
        <is>
          <t>Sleep secures decision quality; ensure at least 6 hours of sleep daily. Follow a whole-food diet, stay hydrated, and limit caffeine（no coffee after 11 AM, max 3 cups a day）. Exercise regularly with strength training or Tabata.</t>
        </is>
      </c>
      <c r="F20" s="31" t="inlineStr">
        <is>
          <t>睡眠是決策質量的保障，確保每日睡眠達 6 小時以上。採取原始飲食、充足飲水、限制咖啡因（上午 11 點後不喝咖啡，每日最多 3 杯）。規律進行重量訓練或 Tabata，保持身體活力。</t>
        </is>
      </c>
      <c r="G20" s="32" t="inlineStr">
        <is>
          <t>睏予飽，大腦做決定才有品質，逐日愛睏足六點鐘以上。食天然原味的食物、滾水啉予夠，節制咖啡因（早起十一點後莫啉咖啡，一工上濟三杯）。規律做重量訓練抑是 Tabata，身軀顧勇、元氣才旺。</t>
        </is>
      </c>
      <c r="H20" s="51" t="inlineStr">
        <is>
          <t>4, 14, 60, 66, 103, 114, 115, 150, 159, 171, 178, 291, 310, 343, 353, 358, 380, 405, 406, 427, 436, 439</t>
        </is>
      </c>
      <c r="I20" s="33" t="inlineStr"/>
      <c r="J20" s="29" t="inlineStr"/>
      <c r="K20" s="34" t="inlineStr"/>
      <c r="L20" s="35" t="inlineStr"/>
    </row>
    <row r="21" ht="26" customHeight="1">
      <c r="A21" s="52" t="inlineStr">
        <is>
          <t>第 6 篇</t>
        </is>
      </c>
      <c r="B21" s="53" t="inlineStr">
        <is>
          <t>第六篇：能量、韌性與生活平衡（心智與身心管理）</t>
        </is>
      </c>
      <c r="C21" s="54" t="inlineStr">
        <is>
          <t>原則 20</t>
        </is>
      </c>
      <c r="D21" s="55" t="inlineStr">
        <is>
          <t>生活平衡與下班儀式 （Life Balance and Post-Work Rituals）</t>
        </is>
      </c>
      <c r="E21" s="40" t="inlineStr">
        <is>
          <t>Draw a clear line between work and life; avoid replying to emails or turn off alerts after hours. Schedule 2-3 days of leave regularly to accompany family, travel, or enjoy solo "sacred time." Learn life skills like cooking and invest in personal hobbies.</t>
        </is>
      </c>
      <c r="F21" s="41" t="inlineStr">
        <is>
          <t>將工作與生活邊界劃分清楚，下班後盡量不回郵件或關閉警示。定期規劃 2-3 天的假期陪伴家人、旅行或享受孤獨的「神聖時間」。學習烹飪等生活技能，投資個人興趣，不被工作完全定義。</t>
        </is>
      </c>
      <c r="G21" s="42" t="inlineStr">
        <is>
          <t>工課佮生活的界線愛分清楚，落班了後莫回信、通知關予恬。定期排兩三工假陪厝內人、出外行行咧，抑是享受孤一个人的「神聖時間」。學煮食等生活手藝、投資個人興趣，人生毋是干焦為著做牛做馬。</t>
        </is>
      </c>
      <c r="H21" s="56" t="inlineStr">
        <is>
          <t>4, 6, 20, 24, 45, 83, 132, 135, 152, 165, 211, 268, 269, 271, 281, 343, 345, 380, 400, 406, 414, 431, 432, 433, 435, 441, 442, 443, 444, 445, 446</t>
        </is>
      </c>
      <c r="I21" s="43" t="inlineStr"/>
      <c r="J21" s="39" t="inlineStr"/>
      <c r="K21" s="44" t="inlineStr"/>
      <c r="L21" s="45" t="inlineStr"/>
    </row>
  </sheetData>
  <autoFilter ref="A1:L21"/>
  <conditionalFormatting sqref="I2:I21">
    <cfRule type="cellIs" priority="1" operator="equal" dxfId="0" stopIfTrue="1">
      <formula>"通過"</formula>
    </cfRule>
    <cfRule type="cellIs" priority="2" operator="equal" dxfId="1" stopIfTrue="1">
      <formula>"待修"</formula>
    </cfRule>
    <cfRule type="cellIs" priority="3" operator="equal" dxfId="2" stopIfTrue="1">
      <formula>"已修訂"</formula>
    </cfRule>
    <cfRule type="cellIs" priority="4" operator="equal" dxfId="3" stopIfTrue="1">
      <formula>"有疑問"</formula>
    </cfRule>
  </conditionalFormatting>
  <dataValidations count="1">
    <dataValidation sqref="I2 I3 I4 I5 I6 I7 I8 I9 I10 I11 I12 I13 I14 I15 I16 I17 I18 I19 I20 I21" showDropDown="0" showInputMessage="0" showErrorMessage="0" allowBlank="1" type="list">
      <formula1>"通過,待修,已修訂,有疑問,未校對"</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4"/>
  <sheetViews>
    <sheetView showGridLines="1" workbookViewId="0">
      <pane ySplit="1" topLeftCell="A2" activePane="bottomLeft" state="frozen"/>
      <selection pane="bottomLeft" activeCell="A1" sqref="A1"/>
    </sheetView>
  </sheetViews>
  <sheetFormatPr baseColWidth="8" defaultRowHeight="15"/>
  <cols>
    <col width="11" customWidth="1" min="1" max="1"/>
    <col width="28" customWidth="1" min="2" max="2"/>
    <col width="12" customWidth="1" min="3" max="3"/>
    <col width="45" customWidth="1" min="4" max="4"/>
    <col width="14" customWidth="1" min="5" max="5"/>
    <col width="36" customWidth="1" min="6" max="6"/>
    <col width="13" customWidth="1" min="7" max="7"/>
    <col width="14" customWidth="1" min="8" max="8"/>
  </cols>
  <sheetData>
    <row r="1" ht="30" customHeight="1">
      <c r="A1" s="57" t="inlineStr">
        <is>
          <t>篇章編號</t>
        </is>
      </c>
      <c r="B1" s="57" t="inlineStr">
        <is>
          <t>所屬篇章名稱</t>
        </is>
      </c>
      <c r="C1" s="57" t="inlineStr">
        <is>
          <t>金句編號</t>
        </is>
      </c>
      <c r="D1" s="57" t="inlineStr">
        <is>
          <t>核心指引金句 (Chapter Quote)</t>
        </is>
      </c>
      <c r="E1" s="57" t="inlineStr">
        <is>
          <t>校對狀態</t>
        </is>
      </c>
      <c r="F1" s="57" t="inlineStr">
        <is>
          <t>修訂建議與批註</t>
        </is>
      </c>
      <c r="G1" s="57" t="inlineStr">
        <is>
          <t>校對人</t>
        </is>
      </c>
      <c r="H1" s="57" t="inlineStr">
        <is>
          <t>校對日期</t>
        </is>
      </c>
    </row>
    <row r="2" ht="25" customHeight="1">
      <c r="A2" s="47" t="inlineStr">
        <is>
          <t>第 1 篇</t>
        </is>
      </c>
      <c r="B2" s="48" t="inlineStr">
        <is>
          <t>第一篇：效能與工具（生產力管理）</t>
        </is>
      </c>
      <c r="C2" s="58" t="inlineStr">
        <is>
          <t>金句 1</t>
        </is>
      </c>
      <c r="D2" s="59" t="inlineStr">
        <is>
          <t>☆利用工具，三觀五覆。☆</t>
        </is>
      </c>
      <c r="E2" s="33" t="inlineStr"/>
      <c r="F2" s="29" t="inlineStr"/>
      <c r="G2" s="34" t="inlineStr"/>
      <c r="H2" s="35" t="inlineStr"/>
    </row>
    <row r="3" ht="25" customHeight="1">
      <c r="A3" s="52" t="inlineStr">
        <is>
          <t>第 1 篇</t>
        </is>
      </c>
      <c r="B3" s="53" t="inlineStr">
        <is>
          <t>第一篇：效能與工具（生產力管理）</t>
        </is>
      </c>
      <c r="C3" s="60" t="inlineStr">
        <is>
          <t>金句 2</t>
        </is>
      </c>
      <c r="D3" s="61" t="inlineStr">
        <is>
          <t>☆列表清單，定期巡查。☆</t>
        </is>
      </c>
      <c r="E3" s="43" t="inlineStr"/>
      <c r="F3" s="39" t="inlineStr"/>
      <c r="G3" s="44" t="inlineStr"/>
      <c r="H3" s="45" t="inlineStr"/>
    </row>
    <row r="4" ht="25" customHeight="1">
      <c r="A4" s="47" t="inlineStr">
        <is>
          <t>第 1 篇</t>
        </is>
      </c>
      <c r="B4" s="48" t="inlineStr">
        <is>
          <t>第一篇：效能與工具（生產力管理）</t>
        </is>
      </c>
      <c r="C4" s="58" t="inlineStr">
        <is>
          <t>金句 3</t>
        </is>
      </c>
      <c r="D4" s="59" t="inlineStr">
        <is>
          <t>☆科技輔助，多工效應。☆</t>
        </is>
      </c>
      <c r="E4" s="33" t="inlineStr"/>
      <c r="F4" s="29" t="inlineStr"/>
      <c r="G4" s="34" t="inlineStr"/>
      <c r="H4" s="35" t="inlineStr"/>
    </row>
    <row r="5" ht="25" customHeight="1">
      <c r="A5" s="52" t="inlineStr">
        <is>
          <t>第 1 篇</t>
        </is>
      </c>
      <c r="B5" s="53" t="inlineStr">
        <is>
          <t>第一篇：效能與工具（生產力管理）</t>
        </is>
      </c>
      <c r="C5" s="60" t="inlineStr">
        <is>
          <t>金句 4</t>
        </is>
      </c>
      <c r="D5" s="61" t="inlineStr">
        <is>
          <t>☆規律原則，自由人生。☆</t>
        </is>
      </c>
      <c r="E5" s="43" t="inlineStr"/>
      <c r="F5" s="39" t="inlineStr"/>
      <c r="G5" s="44" t="inlineStr"/>
      <c r="H5" s="45" t="inlineStr"/>
    </row>
    <row r="6" ht="25" customHeight="1">
      <c r="A6" s="47" t="inlineStr">
        <is>
          <t>第 1 篇</t>
        </is>
      </c>
      <c r="B6" s="48" t="inlineStr">
        <is>
          <t>第一篇：效能與工具（生產力管理）</t>
        </is>
      </c>
      <c r="C6" s="58" t="inlineStr">
        <is>
          <t>金句 5</t>
        </is>
      </c>
      <c r="D6" s="59" t="inlineStr">
        <is>
          <t>☆少閣更好，簡省有力。☆</t>
        </is>
      </c>
      <c r="E6" s="33" t="inlineStr"/>
      <c r="F6" s="29" t="inlineStr"/>
      <c r="G6" s="34" t="inlineStr"/>
      <c r="H6" s="35" t="inlineStr"/>
    </row>
    <row r="7" ht="25" customHeight="1">
      <c r="A7" s="52" t="inlineStr">
        <is>
          <t>第 1 篇</t>
        </is>
      </c>
      <c r="B7" s="53" t="inlineStr">
        <is>
          <t>第一篇：效能與工具（生產力管理）</t>
        </is>
      </c>
      <c r="C7" s="60" t="inlineStr">
        <is>
          <t>金句 6</t>
        </is>
      </c>
      <c r="D7" s="61" t="inlineStr">
        <is>
          <t>☆排列次序，刪減雜差。☆</t>
        </is>
      </c>
      <c r="E7" s="43" t="inlineStr"/>
      <c r="F7" s="39" t="inlineStr"/>
      <c r="G7" s="44" t="inlineStr"/>
      <c r="H7" s="45" t="inlineStr"/>
    </row>
    <row r="8" ht="25" customHeight="1">
      <c r="A8" s="47" t="inlineStr">
        <is>
          <t>第 2 篇</t>
        </is>
      </c>
      <c r="B8" s="48" t="inlineStr">
        <is>
          <t>第二篇：思考與決策（思維模型與問題解決）</t>
        </is>
      </c>
      <c r="C8" s="58" t="inlineStr">
        <is>
          <t>金句 1</t>
        </is>
      </c>
      <c r="D8" s="59" t="inlineStr">
        <is>
          <t>☆毋驚犯錯，風險管理。☆</t>
        </is>
      </c>
      <c r="E8" s="33" t="inlineStr"/>
      <c r="F8" s="29" t="inlineStr"/>
      <c r="G8" s="34" t="inlineStr"/>
      <c r="H8" s="35" t="inlineStr"/>
    </row>
    <row r="9" ht="25" customHeight="1">
      <c r="A9" s="52" t="inlineStr">
        <is>
          <t>第 2 篇</t>
        </is>
      </c>
      <c r="B9" s="53" t="inlineStr">
        <is>
          <t>第二篇：思考與決策（思維模型與問題解決）</t>
        </is>
      </c>
      <c r="C9" s="60" t="inlineStr">
        <is>
          <t>金句 2</t>
        </is>
      </c>
      <c r="D9" s="61" t="inlineStr">
        <is>
          <t>☆定定試驗，隨時調整。☆</t>
        </is>
      </c>
      <c r="E9" s="43" t="inlineStr"/>
      <c r="F9" s="39" t="inlineStr"/>
      <c r="G9" s="44" t="inlineStr"/>
      <c r="H9" s="45" t="inlineStr"/>
    </row>
    <row r="10" ht="25" customHeight="1">
      <c r="A10" s="47" t="inlineStr">
        <is>
          <t>第 2 篇</t>
        </is>
      </c>
      <c r="B10" s="48" t="inlineStr">
        <is>
          <t>第二篇：思考與決策（思維模型與問題解決）</t>
        </is>
      </c>
      <c r="C10" s="58" t="inlineStr">
        <is>
          <t>金句 3</t>
        </is>
      </c>
      <c r="D10" s="59" t="inlineStr">
        <is>
          <t>☆掠尾揣頭，倒踏順序。☆</t>
        </is>
      </c>
      <c r="E10" s="33" t="inlineStr"/>
      <c r="F10" s="29" t="inlineStr"/>
      <c r="G10" s="34" t="inlineStr"/>
      <c r="H10" s="35" t="inlineStr"/>
    </row>
    <row r="11" ht="25" customHeight="1">
      <c r="A11" s="52" t="inlineStr">
        <is>
          <t>第 2 篇</t>
        </is>
      </c>
      <c r="B11" s="53" t="inlineStr">
        <is>
          <t>第二篇：思考與決策（思維模型與問題解決）</t>
        </is>
      </c>
      <c r="C11" s="60" t="inlineStr">
        <is>
          <t>金句 4</t>
        </is>
      </c>
      <c r="D11" s="61" t="inlineStr">
        <is>
          <t>☆分割項目，先有成果。☆</t>
        </is>
      </c>
      <c r="E11" s="43" t="inlineStr"/>
      <c r="F11" s="39" t="inlineStr"/>
      <c r="G11" s="44" t="inlineStr"/>
      <c r="H11" s="45" t="inlineStr"/>
    </row>
    <row r="12" ht="25" customHeight="1">
      <c r="A12" s="47" t="inlineStr">
        <is>
          <t>第 2 篇</t>
        </is>
      </c>
      <c r="B12" s="48" t="inlineStr">
        <is>
          <t>第二篇：思考與決策（思維模型與問題解決）</t>
        </is>
      </c>
      <c r="C12" s="58" t="inlineStr">
        <is>
          <t>金句 5</t>
        </is>
      </c>
      <c r="D12" s="59" t="inlineStr">
        <is>
          <t>☆順逆複盤，加乘效用。☆</t>
        </is>
      </c>
      <c r="E12" s="33" t="inlineStr"/>
      <c r="F12" s="29" t="inlineStr"/>
      <c r="G12" s="34" t="inlineStr"/>
      <c r="H12" s="35" t="inlineStr"/>
    </row>
    <row r="13" ht="25" customHeight="1">
      <c r="A13" s="52" t="inlineStr">
        <is>
          <t>第 2 篇</t>
        </is>
      </c>
      <c r="B13" s="53" t="inlineStr">
        <is>
          <t>第二篇：思考與決策（思維模型與問題解決）</t>
        </is>
      </c>
      <c r="C13" s="60" t="inlineStr">
        <is>
          <t>金句 6</t>
        </is>
      </c>
      <c r="D13" s="61" t="inlineStr">
        <is>
          <t>☆建構系統，頭著尾是。☆</t>
        </is>
      </c>
      <c r="E13" s="43" t="inlineStr"/>
      <c r="F13" s="39" t="inlineStr"/>
      <c r="G13" s="44" t="inlineStr"/>
      <c r="H13" s="45" t="inlineStr"/>
    </row>
    <row r="14" ht="25" customHeight="1">
      <c r="A14" s="47" t="inlineStr">
        <is>
          <t>第 2 篇</t>
        </is>
      </c>
      <c r="B14" s="48" t="inlineStr">
        <is>
          <t>第二篇：思考與決策（思維模型與問題解決）</t>
        </is>
      </c>
      <c r="C14" s="58" t="inlineStr">
        <is>
          <t>金句 7</t>
        </is>
      </c>
      <c r="D14" s="59" t="inlineStr">
        <is>
          <t>☆注心一項，看迵全局。☆</t>
        </is>
      </c>
      <c r="E14" s="33" t="inlineStr"/>
      <c r="F14" s="29" t="inlineStr"/>
      <c r="G14" s="34" t="inlineStr"/>
      <c r="H14" s="35" t="inlineStr"/>
    </row>
    <row r="15" ht="25" customHeight="1">
      <c r="A15" s="52" t="inlineStr">
        <is>
          <t>第 2 篇</t>
        </is>
      </c>
      <c r="B15" s="53" t="inlineStr">
        <is>
          <t>第二篇：思考與決策（思維模型與問題解決）</t>
        </is>
      </c>
      <c r="C15" s="60" t="inlineStr">
        <is>
          <t>金句 8</t>
        </is>
      </c>
      <c r="D15" s="61" t="inlineStr">
        <is>
          <t>☆預先規劃，分批執行。☆</t>
        </is>
      </c>
      <c r="E15" s="43" t="inlineStr"/>
      <c r="F15" s="39" t="inlineStr"/>
      <c r="G15" s="44" t="inlineStr"/>
      <c r="H15" s="45" t="inlineStr"/>
    </row>
    <row r="16" ht="25" customHeight="1">
      <c r="A16" s="47" t="inlineStr">
        <is>
          <t>第 2 篇</t>
        </is>
      </c>
      <c r="B16" s="48" t="inlineStr">
        <is>
          <t>第二篇：思考與決策（思維模型與問題解決）</t>
        </is>
      </c>
      <c r="C16" s="58" t="inlineStr">
        <is>
          <t>金句 9</t>
        </is>
      </c>
      <c r="D16" s="59" t="inlineStr">
        <is>
          <t>☆察覺意識，更新大腦。☆</t>
        </is>
      </c>
      <c r="E16" s="33" t="inlineStr"/>
      <c r="F16" s="29" t="inlineStr"/>
      <c r="G16" s="34" t="inlineStr"/>
      <c r="H16" s="35" t="inlineStr"/>
    </row>
    <row r="17" ht="25" customHeight="1">
      <c r="A17" s="52" t="inlineStr">
        <is>
          <t>第 3 篇</t>
        </is>
      </c>
      <c r="B17" s="53" t="inlineStr">
        <is>
          <t>第三篇：溝通與協作（職場對話術）</t>
        </is>
      </c>
      <c r="C17" s="60" t="inlineStr">
        <is>
          <t>金句 1</t>
        </is>
      </c>
      <c r="D17" s="61" t="inlineStr">
        <is>
          <t>☆時間分配，協同合作。☆</t>
        </is>
      </c>
      <c r="E17" s="43" t="inlineStr"/>
      <c r="F17" s="39" t="inlineStr"/>
      <c r="G17" s="44" t="inlineStr"/>
      <c r="H17" s="45" t="inlineStr"/>
    </row>
    <row r="18" ht="25" customHeight="1">
      <c r="A18" s="47" t="inlineStr">
        <is>
          <t>第 3 篇</t>
        </is>
      </c>
      <c r="B18" s="48" t="inlineStr">
        <is>
          <t>第三篇：溝通與協作（職場對話術）</t>
        </is>
      </c>
      <c r="C18" s="58" t="inlineStr">
        <is>
          <t>金句 2</t>
        </is>
      </c>
      <c r="D18" s="59" t="inlineStr">
        <is>
          <t>☆情緒穩定，高效決策。☆</t>
        </is>
      </c>
      <c r="E18" s="33" t="inlineStr"/>
      <c r="F18" s="29" t="inlineStr"/>
      <c r="G18" s="34" t="inlineStr"/>
      <c r="H18" s="35" t="inlineStr"/>
    </row>
    <row r="19" ht="25" customHeight="1">
      <c r="A19" s="52" t="inlineStr">
        <is>
          <t>第 3 篇</t>
        </is>
      </c>
      <c r="B19" s="53" t="inlineStr">
        <is>
          <t>第三篇：溝通與協作（職場對話術）</t>
        </is>
      </c>
      <c r="C19" s="60" t="inlineStr">
        <is>
          <t>金句 3</t>
        </is>
      </c>
      <c r="D19" s="61" t="inlineStr">
        <is>
          <t>☆歡喜分張，楦闊人脈。☆</t>
        </is>
      </c>
      <c r="E19" s="43" t="inlineStr"/>
      <c r="F19" s="39" t="inlineStr"/>
      <c r="G19" s="44" t="inlineStr"/>
      <c r="H19" s="45" t="inlineStr"/>
    </row>
    <row r="20" ht="25" customHeight="1">
      <c r="A20" s="47" t="inlineStr">
        <is>
          <t>第 3 篇</t>
        </is>
      </c>
      <c r="B20" s="48" t="inlineStr">
        <is>
          <t>第三篇：溝通與協作（職場對話術）</t>
        </is>
      </c>
      <c r="C20" s="58" t="inlineStr">
        <is>
          <t>金句 4</t>
        </is>
      </c>
      <c r="D20" s="59" t="inlineStr">
        <is>
          <t>☆放低自尊，開喙問人。☆</t>
        </is>
      </c>
      <c r="E20" s="33" t="inlineStr"/>
      <c r="F20" s="29" t="inlineStr"/>
      <c r="G20" s="34" t="inlineStr"/>
      <c r="H20" s="35" t="inlineStr"/>
    </row>
    <row r="21" ht="25" customHeight="1">
      <c r="A21" s="52" t="inlineStr">
        <is>
          <t>第 3 篇</t>
        </is>
      </c>
      <c r="B21" s="53" t="inlineStr">
        <is>
          <t>第三篇：溝通與協作（職場對話術）</t>
        </is>
      </c>
      <c r="C21" s="60" t="inlineStr">
        <is>
          <t>金句 5</t>
        </is>
      </c>
      <c r="D21" s="61" t="inlineStr">
        <is>
          <t>☆增加交流，彼此學習。☆</t>
        </is>
      </c>
      <c r="E21" s="43" t="inlineStr"/>
      <c r="F21" s="39" t="inlineStr"/>
      <c r="G21" s="44" t="inlineStr"/>
      <c r="H21" s="45" t="inlineStr"/>
    </row>
    <row r="22" ht="25" customHeight="1">
      <c r="A22" s="47" t="inlineStr">
        <is>
          <t>第 3 篇</t>
        </is>
      </c>
      <c r="B22" s="48" t="inlineStr">
        <is>
          <t>第三篇：溝通與協作（職場對話術）</t>
        </is>
      </c>
      <c r="C22" s="58" t="inlineStr">
        <is>
          <t>金句 6</t>
        </is>
      </c>
      <c r="D22" s="59" t="inlineStr">
        <is>
          <t>☆快樂分張，回饋分析。☆</t>
        </is>
      </c>
      <c r="E22" s="33" t="inlineStr"/>
      <c r="F22" s="29" t="inlineStr"/>
      <c r="G22" s="34" t="inlineStr"/>
      <c r="H22" s="35" t="inlineStr"/>
    </row>
    <row r="23" ht="25" customHeight="1">
      <c r="A23" s="52" t="inlineStr">
        <is>
          <t>第 4 篇</t>
        </is>
      </c>
      <c r="B23" s="53" t="inlineStr">
        <is>
          <t>第四篇：職場生存與防線（自我保護與邊界）</t>
        </is>
      </c>
      <c r="C23" s="60" t="inlineStr">
        <is>
          <t>金句 1</t>
        </is>
      </c>
      <c r="D23" s="61" t="inlineStr">
        <is>
          <t>☆本質優先，簡單生活。☆</t>
        </is>
      </c>
      <c r="E23" s="43" t="inlineStr"/>
      <c r="F23" s="39" t="inlineStr"/>
      <c r="G23" s="44" t="inlineStr"/>
      <c r="H23" s="45" t="inlineStr"/>
    </row>
    <row r="24" ht="25" customHeight="1">
      <c r="A24" s="47" t="inlineStr">
        <is>
          <t>第 4 篇</t>
        </is>
      </c>
      <c r="B24" s="48" t="inlineStr">
        <is>
          <t>第四篇：職場生存與防線（自我保護與邊界）</t>
        </is>
      </c>
      <c r="C24" s="58" t="inlineStr">
        <is>
          <t>金句 2</t>
        </is>
      </c>
      <c r="D24" s="59" t="inlineStr">
        <is>
          <t>☆自我覺察，重新連結。☆</t>
        </is>
      </c>
      <c r="E24" s="33" t="inlineStr"/>
      <c r="F24" s="29" t="inlineStr"/>
      <c r="G24" s="34" t="inlineStr"/>
      <c r="H24" s="35" t="inlineStr"/>
    </row>
    <row r="25" ht="25" customHeight="1">
      <c r="A25" s="52" t="inlineStr">
        <is>
          <t>第 4 篇</t>
        </is>
      </c>
      <c r="B25" s="53" t="inlineStr">
        <is>
          <t>第四篇：職場生存與防線（自我保護與邊界）</t>
        </is>
      </c>
      <c r="C25" s="60" t="inlineStr">
        <is>
          <t>金句 3</t>
        </is>
      </c>
      <c r="D25" s="61" t="inlineStr">
        <is>
          <t>☆了解人性，誠心感恩。☆</t>
        </is>
      </c>
      <c r="E25" s="43" t="inlineStr"/>
      <c r="F25" s="39" t="inlineStr"/>
      <c r="G25" s="44" t="inlineStr"/>
      <c r="H25" s="45" t="inlineStr"/>
    </row>
    <row r="26" ht="25" customHeight="1">
      <c r="A26" s="47" t="inlineStr">
        <is>
          <t>第 5 篇</t>
        </is>
      </c>
      <c r="B26" s="48" t="inlineStr">
        <is>
          <t>第五篇：職涯與個人成長（價值提升與升遷）</t>
        </is>
      </c>
      <c r="C26" s="58" t="inlineStr">
        <is>
          <t>金句 1</t>
        </is>
      </c>
      <c r="D26" s="59" t="inlineStr">
        <is>
          <t>☆大量閱讀，閣有輸出。☆</t>
        </is>
      </c>
      <c r="E26" s="33" t="inlineStr"/>
      <c r="F26" s="29" t="inlineStr"/>
      <c r="G26" s="34" t="inlineStr"/>
      <c r="H26" s="35" t="inlineStr"/>
    </row>
    <row r="27" ht="25" customHeight="1">
      <c r="A27" s="52" t="inlineStr">
        <is>
          <t>第 5 篇</t>
        </is>
      </c>
      <c r="B27" s="53" t="inlineStr">
        <is>
          <t>第五篇：職涯與個人成長（價值提升與升遷）</t>
        </is>
      </c>
      <c r="C27" s="60" t="inlineStr">
        <is>
          <t>金句 2</t>
        </is>
      </c>
      <c r="D27" s="61" t="inlineStr">
        <is>
          <t>☆內化知識，實際行動。☆</t>
        </is>
      </c>
      <c r="E27" s="43" t="inlineStr"/>
      <c r="F27" s="39" t="inlineStr"/>
      <c r="G27" s="44" t="inlineStr"/>
      <c r="H27" s="45" t="inlineStr"/>
    </row>
    <row r="28" ht="25" customHeight="1">
      <c r="A28" s="47" t="inlineStr">
        <is>
          <t>第 5 篇</t>
        </is>
      </c>
      <c r="B28" s="48" t="inlineStr">
        <is>
          <t>第五篇：職涯與個人成長（價值提升與升遷）</t>
        </is>
      </c>
      <c r="C28" s="58" t="inlineStr">
        <is>
          <t>金句 3</t>
        </is>
      </c>
      <c r="D28" s="59" t="inlineStr">
        <is>
          <t>☆專案管理，一人公司。☆</t>
        </is>
      </c>
      <c r="E28" s="33" t="inlineStr"/>
      <c r="F28" s="29" t="inlineStr"/>
      <c r="G28" s="34" t="inlineStr"/>
      <c r="H28" s="35" t="inlineStr"/>
    </row>
    <row r="29" ht="25" customHeight="1">
      <c r="A29" s="52" t="inlineStr">
        <is>
          <t>第 5 篇</t>
        </is>
      </c>
      <c r="B29" s="53" t="inlineStr">
        <is>
          <t>第五篇：職涯與個人成長（價值提升與升遷）</t>
        </is>
      </c>
      <c r="C29" s="60" t="inlineStr">
        <is>
          <t>金句 4</t>
        </is>
      </c>
      <c r="D29" s="61" t="inlineStr">
        <is>
          <t>☆不斷改善，正面循環。☆</t>
        </is>
      </c>
      <c r="E29" s="43" t="inlineStr"/>
      <c r="F29" s="39" t="inlineStr"/>
      <c r="G29" s="44" t="inlineStr"/>
      <c r="H29" s="45" t="inlineStr"/>
    </row>
    <row r="30" ht="25" customHeight="1">
      <c r="A30" s="47" t="inlineStr">
        <is>
          <t>第 5 篇</t>
        </is>
      </c>
      <c r="B30" s="48" t="inlineStr">
        <is>
          <t>第五篇：職涯與個人成長（價值提升與升遷）</t>
        </is>
      </c>
      <c r="C30" s="58" t="inlineStr">
        <is>
          <t>金句 5</t>
        </is>
      </c>
      <c r="D30" s="59" t="inlineStr">
        <is>
          <t>☆刁工練習，成做慣勢。☆</t>
        </is>
      </c>
      <c r="E30" s="33" t="inlineStr"/>
      <c r="F30" s="29" t="inlineStr"/>
      <c r="G30" s="34" t="inlineStr"/>
      <c r="H30" s="35" t="inlineStr"/>
    </row>
    <row r="31" ht="25" customHeight="1">
      <c r="A31" s="52" t="inlineStr">
        <is>
          <t>第 5 篇</t>
        </is>
      </c>
      <c r="B31" s="53" t="inlineStr">
        <is>
          <t>第五篇：職涯與個人成長（價值提升與升遷）</t>
        </is>
      </c>
      <c r="C31" s="60" t="inlineStr">
        <is>
          <t>金句 6</t>
        </is>
      </c>
      <c r="D31" s="61" t="inlineStr">
        <is>
          <t>☆相信思維，勇敢改變。☆</t>
        </is>
      </c>
      <c r="E31" s="43" t="inlineStr"/>
      <c r="F31" s="39" t="inlineStr"/>
      <c r="G31" s="44" t="inlineStr"/>
      <c r="H31" s="45" t="inlineStr"/>
    </row>
    <row r="32" ht="25" customHeight="1">
      <c r="A32" s="47" t="inlineStr">
        <is>
          <t>第 5 篇</t>
        </is>
      </c>
      <c r="B32" s="48" t="inlineStr">
        <is>
          <t>第五篇：職涯與個人成長（價值提升與升遷）</t>
        </is>
      </c>
      <c r="C32" s="58" t="inlineStr">
        <is>
          <t>金句 7</t>
        </is>
      </c>
      <c r="D32" s="59" t="inlineStr">
        <is>
          <t>☆知識連結，多方應用。☆</t>
        </is>
      </c>
      <c r="E32" s="33" t="inlineStr"/>
      <c r="F32" s="29" t="inlineStr"/>
      <c r="G32" s="34" t="inlineStr"/>
      <c r="H32" s="35" t="inlineStr"/>
    </row>
    <row r="33" ht="25" customHeight="1">
      <c r="A33" s="52" t="inlineStr">
        <is>
          <t>第 5 篇</t>
        </is>
      </c>
      <c r="B33" s="53" t="inlineStr">
        <is>
          <t>第五篇：職涯與個人成長（價值提升與升遷）</t>
        </is>
      </c>
      <c r="C33" s="60" t="inlineStr">
        <is>
          <t>金句 8</t>
        </is>
      </c>
      <c r="D33" s="61" t="inlineStr">
        <is>
          <t>☆統整連結，拍通底層。☆</t>
        </is>
      </c>
      <c r="E33" s="43" t="inlineStr"/>
      <c r="F33" s="39" t="inlineStr"/>
      <c r="G33" s="44" t="inlineStr"/>
      <c r="H33" s="45" t="inlineStr"/>
    </row>
    <row r="34" ht="25" customHeight="1">
      <c r="A34" s="47" t="inlineStr">
        <is>
          <t>第 5 篇</t>
        </is>
      </c>
      <c r="B34" s="48" t="inlineStr">
        <is>
          <t>第五篇：職涯與個人成長（價值提升與升遷）</t>
        </is>
      </c>
      <c r="C34" s="58" t="inlineStr">
        <is>
          <t>金句 9</t>
        </is>
      </c>
      <c r="D34" s="59" t="inlineStr">
        <is>
          <t>☆繼續累積，時間複利。☆</t>
        </is>
      </c>
      <c r="E34" s="33" t="inlineStr"/>
      <c r="F34" s="29" t="inlineStr"/>
      <c r="G34" s="34" t="inlineStr"/>
      <c r="H34" s="35" t="inlineStr"/>
    </row>
    <row r="35" ht="25" customHeight="1">
      <c r="A35" s="52" t="inlineStr">
        <is>
          <t>第 5 篇</t>
        </is>
      </c>
      <c r="B35" s="53" t="inlineStr">
        <is>
          <t>第五篇：職涯與個人成長（價值提升與升遷）</t>
        </is>
      </c>
      <c r="C35" s="60" t="inlineStr">
        <is>
          <t>金句 10</t>
        </is>
      </c>
      <c r="D35" s="61" t="inlineStr">
        <is>
          <t>☆了解規則，拍破規則。☆</t>
        </is>
      </c>
      <c r="E35" s="43" t="inlineStr"/>
      <c r="F35" s="39" t="inlineStr"/>
      <c r="G35" s="44" t="inlineStr"/>
      <c r="H35" s="45" t="inlineStr"/>
    </row>
    <row r="36" ht="25" customHeight="1">
      <c r="A36" s="47" t="inlineStr">
        <is>
          <t>第 5 篇</t>
        </is>
      </c>
      <c r="B36" s="48" t="inlineStr">
        <is>
          <t>第五篇：職涯與個人成長（價值提升與升遷）</t>
        </is>
      </c>
      <c r="C36" s="58" t="inlineStr">
        <is>
          <t>金句 11</t>
        </is>
      </c>
      <c r="D36" s="59" t="inlineStr">
        <is>
          <t>☆認清現實，行銷自我。☆</t>
        </is>
      </c>
      <c r="E36" s="33" t="inlineStr"/>
      <c r="F36" s="29" t="inlineStr"/>
      <c r="G36" s="34" t="inlineStr"/>
      <c r="H36" s="35" t="inlineStr"/>
    </row>
    <row r="37" ht="25" customHeight="1">
      <c r="A37" s="52" t="inlineStr">
        <is>
          <t>第 6 篇</t>
        </is>
      </c>
      <c r="B37" s="53" t="inlineStr">
        <is>
          <t>第六篇：能量、韌性與生活平衡（心智與身心管理）</t>
        </is>
      </c>
      <c r="C37" s="60" t="inlineStr">
        <is>
          <t>金句 1</t>
        </is>
      </c>
      <c r="D37" s="61" t="inlineStr">
        <is>
          <t>☆運動健身，定期捐血。☆</t>
        </is>
      </c>
      <c r="E37" s="43" t="inlineStr"/>
      <c r="F37" s="39" t="inlineStr"/>
      <c r="G37" s="44" t="inlineStr"/>
      <c r="H37" s="45" t="inlineStr"/>
    </row>
    <row r="38" ht="25" customHeight="1">
      <c r="A38" s="47" t="inlineStr">
        <is>
          <t>第 6 篇</t>
        </is>
      </c>
      <c r="B38" s="48" t="inlineStr">
        <is>
          <t>第六篇：能量、韌性與生活平衡（心智與身心管理）</t>
        </is>
      </c>
      <c r="C38" s="58" t="inlineStr">
        <is>
          <t>金句 2</t>
        </is>
      </c>
      <c r="D38" s="59" t="inlineStr">
        <is>
          <t>☆原始飲食，加啉茶水。☆</t>
        </is>
      </c>
      <c r="E38" s="33" t="inlineStr"/>
      <c r="F38" s="29" t="inlineStr"/>
      <c r="G38" s="34" t="inlineStr"/>
      <c r="H38" s="35" t="inlineStr"/>
    </row>
    <row r="39" ht="25" customHeight="1">
      <c r="A39" s="52" t="inlineStr">
        <is>
          <t>第 6 篇</t>
        </is>
      </c>
      <c r="B39" s="53" t="inlineStr">
        <is>
          <t>第六篇：能量、韌性與生活平衡（心智與身心管理）</t>
        </is>
      </c>
      <c r="C39" s="60" t="inlineStr">
        <is>
          <t>金句 3</t>
        </is>
      </c>
      <c r="D39" s="61" t="inlineStr">
        <is>
          <t>☆貢獻社會，利益別人。☆</t>
        </is>
      </c>
      <c r="E39" s="43" t="inlineStr"/>
      <c r="F39" s="39" t="inlineStr"/>
      <c r="G39" s="44" t="inlineStr"/>
      <c r="H39" s="45" t="inlineStr"/>
    </row>
    <row r="40" ht="25" customHeight="1">
      <c r="A40" s="47" t="inlineStr">
        <is>
          <t>第 6 篇</t>
        </is>
      </c>
      <c r="B40" s="48" t="inlineStr">
        <is>
          <t>第六篇：能量、韌性與生活平衡（心智與身心管理）</t>
        </is>
      </c>
      <c r="C40" s="58" t="inlineStr">
        <is>
          <t>金句 4</t>
        </is>
      </c>
      <c r="D40" s="59" t="inlineStr">
        <is>
          <t>☆耐心等待，堅韌磨練。☆</t>
        </is>
      </c>
      <c r="E40" s="33" t="inlineStr"/>
      <c r="F40" s="29" t="inlineStr"/>
      <c r="G40" s="34" t="inlineStr"/>
      <c r="H40" s="35" t="inlineStr"/>
    </row>
    <row r="41" ht="25" customHeight="1">
      <c r="A41" s="52" t="inlineStr">
        <is>
          <t>第 6 篇</t>
        </is>
      </c>
      <c r="B41" s="53" t="inlineStr">
        <is>
          <t>第六篇：能量、韌性與生活平衡（心智與身心管理）</t>
        </is>
      </c>
      <c r="C41" s="60" t="inlineStr">
        <is>
          <t>金句 5</t>
        </is>
      </c>
      <c r="D41" s="61" t="inlineStr">
        <is>
          <t>☆不求完美，穩定成長。☆</t>
        </is>
      </c>
      <c r="E41" s="43" t="inlineStr"/>
      <c r="F41" s="39" t="inlineStr"/>
      <c r="G41" s="44" t="inlineStr"/>
      <c r="H41" s="45" t="inlineStr"/>
    </row>
    <row r="42" ht="25" customHeight="1">
      <c r="A42" s="47" t="inlineStr">
        <is>
          <t>第 6 篇</t>
        </is>
      </c>
      <c r="B42" s="48" t="inlineStr">
        <is>
          <t>第六篇：能量、韌性與生活平衡（心智與身心管理）</t>
        </is>
      </c>
      <c r="C42" s="58" t="inlineStr">
        <is>
          <t>金句 6</t>
        </is>
      </c>
      <c r="D42" s="59" t="inlineStr">
        <is>
          <t>☆享受孤獨，沓沓進步。☆</t>
        </is>
      </c>
      <c r="E42" s="33" t="inlineStr"/>
      <c r="F42" s="29" t="inlineStr"/>
      <c r="G42" s="34" t="inlineStr"/>
      <c r="H42" s="35" t="inlineStr"/>
    </row>
    <row r="43" ht="25" customHeight="1">
      <c r="A43" s="52" t="inlineStr">
        <is>
          <t>第 6 篇</t>
        </is>
      </c>
      <c r="B43" s="53" t="inlineStr">
        <is>
          <t>第六篇：能量、韌性與生活平衡（心智與身心管理）</t>
        </is>
      </c>
      <c r="C43" s="60" t="inlineStr">
        <is>
          <t>金句 7</t>
        </is>
      </c>
      <c r="D43" s="61" t="inlineStr">
        <is>
          <t>☆正向轉念，認知改觀。☆</t>
        </is>
      </c>
      <c r="E43" s="43" t="inlineStr"/>
      <c r="F43" s="39" t="inlineStr"/>
      <c r="G43" s="44" t="inlineStr"/>
      <c r="H43" s="45" t="inlineStr"/>
    </row>
    <row r="44" ht="25" customHeight="1">
      <c r="A44" s="47" t="inlineStr">
        <is>
          <t>第 6 篇</t>
        </is>
      </c>
      <c r="B44" s="48" t="inlineStr">
        <is>
          <t>第六篇：能量、韌性與生活平衡（心智與身心管理）</t>
        </is>
      </c>
      <c r="C44" s="58" t="inlineStr">
        <is>
          <t>金句 8</t>
        </is>
      </c>
      <c r="D44" s="59" t="inlineStr">
        <is>
          <t>☆記錄回顧，調修模式。☆</t>
        </is>
      </c>
      <c r="E44" s="33" t="inlineStr"/>
      <c r="F44" s="29" t="inlineStr"/>
      <c r="G44" s="34" t="inlineStr"/>
      <c r="H44" s="35" t="inlineStr"/>
    </row>
    <row r="45" ht="25" customHeight="1">
      <c r="A45" s="52" t="inlineStr">
        <is>
          <t>第 6 篇</t>
        </is>
      </c>
      <c r="B45" s="53" t="inlineStr">
        <is>
          <t>第六篇：能量、韌性與生活平衡（心智與身心管理）</t>
        </is>
      </c>
      <c r="C45" s="60" t="inlineStr">
        <is>
          <t>金句 9</t>
        </is>
      </c>
      <c r="D45" s="61" t="inlineStr">
        <is>
          <t>☆氣力管理，八二原則。☆</t>
        </is>
      </c>
      <c r="E45" s="43" t="inlineStr"/>
      <c r="F45" s="39" t="inlineStr"/>
      <c r="G45" s="44" t="inlineStr"/>
      <c r="H45" s="45" t="inlineStr"/>
    </row>
    <row r="46" ht="25" customHeight="1">
      <c r="A46" s="47" t="inlineStr">
        <is>
          <t>第 6 篇</t>
        </is>
      </c>
      <c r="B46" s="48" t="inlineStr">
        <is>
          <t>第六篇：能量、韌性與生活平衡（心智與身心管理）</t>
        </is>
      </c>
      <c r="C46" s="58" t="inlineStr">
        <is>
          <t>金句 10</t>
        </is>
      </c>
      <c r="D46" s="59" t="inlineStr">
        <is>
          <t>☆增加體驗，享受人生。☆</t>
        </is>
      </c>
      <c r="E46" s="33" t="inlineStr"/>
      <c r="F46" s="29" t="inlineStr"/>
      <c r="G46" s="34" t="inlineStr"/>
      <c r="H46" s="35" t="inlineStr"/>
    </row>
    <row r="47" ht="25" customHeight="1">
      <c r="A47" s="52" t="inlineStr">
        <is>
          <t>第 6 篇</t>
        </is>
      </c>
      <c r="B47" s="53" t="inlineStr">
        <is>
          <t>第六篇：能量、韌性與生活平衡（心智與身心管理）</t>
        </is>
      </c>
      <c r="C47" s="60" t="inlineStr">
        <is>
          <t>金句 11</t>
        </is>
      </c>
      <c r="D47" s="61" t="inlineStr">
        <is>
          <t>☆認捌家己，認真選擇。☆</t>
        </is>
      </c>
      <c r="E47" s="43" t="inlineStr"/>
      <c r="F47" s="39" t="inlineStr"/>
      <c r="G47" s="44" t="inlineStr"/>
      <c r="H47" s="45" t="inlineStr"/>
    </row>
    <row r="48" ht="25" customHeight="1">
      <c r="A48" s="47" t="inlineStr">
        <is>
          <t>第 6 篇</t>
        </is>
      </c>
      <c r="B48" s="48" t="inlineStr">
        <is>
          <t>第六篇：能量、韌性與生活平衡（心智與身心管理）</t>
        </is>
      </c>
      <c r="C48" s="58" t="inlineStr">
        <is>
          <t>金句 12</t>
        </is>
      </c>
      <c r="D48" s="59" t="inlineStr">
        <is>
          <t>☆耐心等待，回顧修正。☆</t>
        </is>
      </c>
      <c r="E48" s="33" t="inlineStr"/>
      <c r="F48" s="29" t="inlineStr"/>
      <c r="G48" s="34" t="inlineStr"/>
      <c r="H48" s="35" t="inlineStr"/>
    </row>
    <row r="49" ht="25" customHeight="1">
      <c r="A49" s="52" t="inlineStr">
        <is>
          <t>第 6 篇</t>
        </is>
      </c>
      <c r="B49" s="53" t="inlineStr">
        <is>
          <t>第六篇：能量、韌性與生活平衡（心智與身心管理）</t>
        </is>
      </c>
      <c r="C49" s="60" t="inlineStr">
        <is>
          <t>金句 13</t>
        </is>
      </c>
      <c r="D49" s="61" t="inlineStr">
        <is>
          <t>☆停跤歇睏，氣力復活。☆</t>
        </is>
      </c>
      <c r="E49" s="43" t="inlineStr"/>
      <c r="F49" s="39" t="inlineStr"/>
      <c r="G49" s="44" t="inlineStr"/>
      <c r="H49" s="45" t="inlineStr"/>
    </row>
    <row r="50" ht="25" customHeight="1">
      <c r="A50" s="47" t="inlineStr">
        <is>
          <t>第 6 篇</t>
        </is>
      </c>
      <c r="B50" s="48" t="inlineStr">
        <is>
          <t>第六篇：能量、韌性與生活平衡（心智與身心管理）</t>
        </is>
      </c>
      <c r="C50" s="58" t="inlineStr">
        <is>
          <t>金句 14</t>
        </is>
      </c>
      <c r="D50" s="59" t="inlineStr">
        <is>
          <t>☆毋驚失敗，享受過程。☆</t>
        </is>
      </c>
      <c r="E50" s="33" t="inlineStr"/>
      <c r="F50" s="29" t="inlineStr"/>
      <c r="G50" s="34" t="inlineStr"/>
      <c r="H50" s="35" t="inlineStr"/>
    </row>
    <row r="51" ht="25" customHeight="1">
      <c r="A51" s="52" t="inlineStr">
        <is>
          <t>第 6 篇</t>
        </is>
      </c>
      <c r="B51" s="53" t="inlineStr">
        <is>
          <t>第六篇：能量、韌性與生活平衡（心智與身心管理）</t>
        </is>
      </c>
      <c r="C51" s="60" t="inlineStr">
        <is>
          <t>金句 15</t>
        </is>
      </c>
      <c r="D51" s="61" t="inlineStr">
        <is>
          <t>☆接受未知，失敗常態。☆</t>
        </is>
      </c>
      <c r="E51" s="43" t="inlineStr"/>
      <c r="F51" s="39" t="inlineStr"/>
      <c r="G51" s="44" t="inlineStr"/>
      <c r="H51" s="45" t="inlineStr"/>
    </row>
    <row r="52" ht="25" customHeight="1">
      <c r="A52" s="47" t="inlineStr">
        <is>
          <t>第 6 篇</t>
        </is>
      </c>
      <c r="B52" s="48" t="inlineStr">
        <is>
          <t>第六篇：能量、韌性與生活平衡（心智與身心管理）</t>
        </is>
      </c>
      <c r="C52" s="58" t="inlineStr">
        <is>
          <t>金句 16</t>
        </is>
      </c>
      <c r="D52" s="59" t="inlineStr">
        <is>
          <t>☆了解無常，定著看待。☆</t>
        </is>
      </c>
      <c r="E52" s="33" t="inlineStr"/>
      <c r="F52" s="29" t="inlineStr"/>
      <c r="G52" s="34" t="inlineStr"/>
      <c r="H52" s="35" t="inlineStr"/>
    </row>
    <row r="53" ht="25" customHeight="1">
      <c r="A53" s="52" t="inlineStr">
        <is>
          <t>第 6 篇</t>
        </is>
      </c>
      <c r="B53" s="53" t="inlineStr">
        <is>
          <t>第六篇：能量、韌性與生活平衡（心智與身心管理）</t>
        </is>
      </c>
      <c r="C53" s="60" t="inlineStr">
        <is>
          <t>金句 17</t>
        </is>
      </c>
      <c r="D53" s="61" t="inlineStr">
        <is>
          <t>☆相信家己，精神解放。☆</t>
        </is>
      </c>
      <c r="E53" s="43" t="inlineStr"/>
      <c r="F53" s="39" t="inlineStr"/>
      <c r="G53" s="44" t="inlineStr"/>
      <c r="H53" s="45" t="inlineStr"/>
    </row>
    <row r="54" ht="25" customHeight="1">
      <c r="A54" s="47" t="inlineStr">
        <is>
          <t>第 6 篇</t>
        </is>
      </c>
      <c r="B54" s="48" t="inlineStr">
        <is>
          <t>第六篇：能量、韌性與生活平衡（心智與身心管理）</t>
        </is>
      </c>
      <c r="C54" s="58" t="inlineStr">
        <is>
          <t>金句 18</t>
        </is>
      </c>
      <c r="D54" s="59" t="inlineStr">
        <is>
          <t>☆體驗自然，簡單生活。☆</t>
        </is>
      </c>
      <c r="E54" s="33" t="inlineStr"/>
      <c r="F54" s="29" t="inlineStr"/>
      <c r="G54" s="34" t="inlineStr"/>
      <c r="H54" s="35" t="inlineStr"/>
    </row>
  </sheetData>
  <autoFilter ref="A1:H54"/>
  <conditionalFormatting sqref="E2:E54">
    <cfRule type="cellIs" priority="1" operator="equal" dxfId="0" stopIfTrue="1">
      <formula>"通過"</formula>
    </cfRule>
    <cfRule type="cellIs" priority="2" operator="equal" dxfId="1" stopIfTrue="1">
      <formula>"待修"</formula>
    </cfRule>
    <cfRule type="cellIs" priority="3" operator="equal" dxfId="2" stopIfTrue="1">
      <formula>"已修訂"</formula>
    </cfRule>
    <cfRule type="cellIs" priority="4" operator="equal" dxfId="3" stopIfTrue="1">
      <formula>"有疑問"</formula>
    </cfRule>
  </conditionalFormatting>
  <dataValidations count="1">
    <dataValidation sqref="E2 E3 E4 E5 E6 E7 E8 E9 E10 E11 E12 E13 E14 E15 E16 E17 E18 E19 E20 E21 E22 E23 E24 E25 E26 E27 E28 E29 E30 E31 E32 E33 E34 E35 E36 E37 E38 E39 E40 E41 E42 E43 E44 E45 E46 E47 E48 E49 E50 E51 E52 E53 E54" showDropDown="0" showInputMessage="0" showErrorMessage="0" allowBlank="1" type="list">
      <formula1>"通過,待修,已修訂,有疑問,未校對"</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2026-10-16T23:23:15Z</dcterms:created>
  <dcterms:modified xmlns:dcterms="http://purl.org/dc/terms/" xmlns:xsi="http://www.w3.org/2001/XMLSchema-instance" xsi:type="dcterms:W3CDTF">2026-10-16T23:23:16Z</dcterms:modified>
</cp:coreProperties>
</file>